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ocuments\Ciencas de datos\Analisis data Hospital\"/>
    </mc:Choice>
  </mc:AlternateContent>
  <bookViews>
    <workbookView xWindow="0" yWindow="0" windowWidth="11505" windowHeight="7515"/>
  </bookViews>
  <sheets>
    <sheet name="Data 202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9" i="1" s="1"/>
  <c r="E23" i="1"/>
  <c r="E29" i="1" s="1"/>
  <c r="F23" i="1"/>
  <c r="F29" i="1" s="1"/>
  <c r="G23" i="1"/>
  <c r="G29" i="1" s="1"/>
  <c r="H23" i="1"/>
  <c r="H29" i="1" s="1"/>
  <c r="I23" i="1"/>
  <c r="I29" i="1" s="1"/>
  <c r="K23" i="1"/>
  <c r="K29" i="1" s="1"/>
  <c r="L29" i="1"/>
  <c r="L23" i="1"/>
  <c r="M29" i="1"/>
  <c r="M23" i="1"/>
  <c r="N27" i="1"/>
  <c r="N25" i="1"/>
  <c r="N21" i="1"/>
  <c r="N19" i="1"/>
  <c r="N17" i="1"/>
  <c r="N15" i="1"/>
  <c r="N13" i="1"/>
  <c r="N11" i="1"/>
  <c r="N9" i="1"/>
  <c r="N7" i="1"/>
  <c r="N5" i="1"/>
  <c r="N23" i="1" l="1"/>
  <c r="N29" i="1"/>
</calcChain>
</file>

<file path=xl/sharedStrings.xml><?xml version="1.0" encoding="utf-8"?>
<sst xmlns="http://schemas.openxmlformats.org/spreadsheetml/2006/main" count="30" uniqueCount="30">
  <si>
    <t>ESTUDIO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</si>
  <si>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</si>
  <si>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</si>
  <si>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</si>
  <si>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</si>
  <si>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</si>
  <si>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</si>
  <si>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</si>
  <si>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</si>
  <si>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</t>
  </si>
  <si>
    <t>OCTUBRE</t>
  </si>
  <si>
    <t>NOVIEMB</t>
  </si>
  <si>
    <t>DICIEMB</t>
  </si>
  <si>
    <t>TOTAL</t>
  </si>
  <si>
    <t>RX</t>
  </si>
  <si>
    <t>DENSITOMETRIAS</t>
  </si>
  <si>
    <t>TOMOGRAFIAS</t>
  </si>
  <si>
    <t>SONOGRAFIAS</t>
  </si>
  <si>
    <t>MAMOGRAFIAS</t>
  </si>
  <si>
    <t>RESONANCIAS</t>
  </si>
  <si>
    <t>BIOPSIAS</t>
  </si>
  <si>
    <t>RIV/DRENAJE/TOMODIRIGIDAS</t>
  </si>
  <si>
    <t>ANGIOGRAFIAS(RIV)</t>
  </si>
  <si>
    <t>SUB-TOTAL</t>
  </si>
  <si>
    <t>M.NUCLEAR. ESTUDIOS **</t>
  </si>
  <si>
    <t>M.N. PROCEDIMIENTOS**</t>
  </si>
  <si>
    <t>TOTAL GENERAL</t>
  </si>
  <si>
    <t>.</t>
  </si>
  <si>
    <t>ESTUDIOS REALIZADOS ENERO-DICIEMBRE (2023)</t>
  </si>
  <si>
    <t xml:space="preserve">       DEPARTAMENTO DE IMÁGENES MEDICAS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</si>
</sst>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2" borderId="10" xfId="0" applyFont="1" applyFill="1" applyBorder="1"/>
    <xf numFmtId="3" fontId="3" fillId="2" borderId="12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3" fontId="4" fillId="2" borderId="12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3" fontId="4" fillId="3" borderId="17" xfId="0" applyNumberFormat="1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3" fontId="5" fillId="2" borderId="11" xfId="0" applyNumberFormat="1" applyFont="1" applyFill="1" applyBorder="1" applyAlignment="1">
      <alignment horizontal="center"/>
    </xf>
    <xf numFmtId="3" fontId="6" fillId="2" borderId="11" xfId="0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3" fontId="5" fillId="4" borderId="18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3" fontId="7" fillId="2" borderId="8" xfId="0" applyNumberFormat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3" fontId="7" fillId="2" borderId="11" xfId="0" applyNumberFormat="1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3" fontId="9" fillId="2" borderId="11" xfId="0" applyNumberFormat="1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3" fontId="9" fillId="8" borderId="22" xfId="0" applyNumberFormat="1" applyFont="1" applyFill="1" applyBorder="1" applyAlignment="1">
      <alignment horizontal="center"/>
    </xf>
    <xf numFmtId="3" fontId="1" fillId="8" borderId="8" xfId="0" applyNumberFormat="1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3" fontId="1" fillId="8" borderId="11" xfId="0" applyNumberFormat="1" applyFont="1" applyFill="1" applyBorder="1" applyAlignment="1">
      <alignment horizontal="center"/>
    </xf>
    <xf numFmtId="3" fontId="10" fillId="8" borderId="11" xfId="0" applyNumberFormat="1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3" fontId="10" fillId="3" borderId="16" xfId="0" applyNumberFormat="1" applyFont="1" applyFill="1" applyBorder="1" applyAlignment="1">
      <alignment horizontal="center"/>
    </xf>
    <xf numFmtId="3" fontId="3" fillId="10" borderId="8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3" fontId="3" fillId="10" borderId="11" xfId="0" applyNumberFormat="1" applyFont="1" applyFill="1" applyBorder="1" applyAlignment="1">
      <alignment horizontal="center"/>
    </xf>
    <xf numFmtId="3" fontId="4" fillId="10" borderId="11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3" fontId="4" fillId="3" borderId="16" xfId="0" applyNumberFormat="1" applyFont="1" applyFill="1" applyBorder="1" applyAlignment="1">
      <alignment horizontal="center"/>
    </xf>
    <xf numFmtId="3" fontId="7" fillId="9" borderId="8" xfId="0" applyNumberFormat="1" applyFont="1" applyFill="1" applyBorder="1" applyAlignment="1">
      <alignment horizontal="center"/>
    </xf>
    <xf numFmtId="0" fontId="7" fillId="9" borderId="11" xfId="0" applyFont="1" applyFill="1" applyBorder="1" applyAlignment="1">
      <alignment horizontal="center"/>
    </xf>
    <xf numFmtId="3" fontId="7" fillId="9" borderId="11" xfId="0" applyNumberFormat="1" applyFont="1" applyFill="1" applyBorder="1" applyAlignment="1">
      <alignment horizontal="center"/>
    </xf>
    <xf numFmtId="3" fontId="9" fillId="9" borderId="11" xfId="0" applyNumberFormat="1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3" fontId="9" fillId="2" borderId="16" xfId="0" applyNumberFormat="1" applyFont="1" applyFill="1" applyBorder="1" applyAlignment="1">
      <alignment horizontal="center"/>
    </xf>
    <xf numFmtId="3" fontId="3" fillId="6" borderId="8" xfId="0" applyNumberFormat="1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3" fontId="3" fillId="6" borderId="11" xfId="0" applyNumberFormat="1" applyFont="1" applyFill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3" fontId="4" fillId="8" borderId="17" xfId="0" applyNumberFormat="1" applyFont="1" applyFill="1" applyBorder="1" applyAlignment="1">
      <alignment horizontal="center"/>
    </xf>
    <xf numFmtId="3" fontId="3" fillId="6" borderId="21" xfId="0" applyNumberFormat="1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3" fontId="3" fillId="6" borderId="12" xfId="0" applyNumberFormat="1" applyFont="1" applyFill="1" applyBorder="1" applyAlignment="1">
      <alignment horizontal="center"/>
    </xf>
    <xf numFmtId="3" fontId="4" fillId="6" borderId="12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3" fontId="4" fillId="7" borderId="17" xfId="0" applyNumberFormat="1" applyFont="1" applyFill="1" applyBorder="1" applyAlignment="1">
      <alignment horizontal="center"/>
    </xf>
    <xf numFmtId="3" fontId="1" fillId="5" borderId="19" xfId="0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3" fontId="1" fillId="5" borderId="11" xfId="0" applyNumberFormat="1" applyFont="1" applyFill="1" applyBorder="1" applyAlignment="1">
      <alignment horizontal="center"/>
    </xf>
    <xf numFmtId="3" fontId="10" fillId="5" borderId="11" xfId="0" applyNumberFormat="1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3" fontId="10" fillId="4" borderId="22" xfId="0" applyNumberFormat="1" applyFont="1" applyFill="1" applyBorder="1" applyAlignment="1">
      <alignment horizontal="center"/>
    </xf>
    <xf numFmtId="3" fontId="1" fillId="2" borderId="12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3" fontId="10" fillId="2" borderId="12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3" fontId="10" fillId="4" borderId="17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0" fillId="2" borderId="11" xfId="0" applyNumberFormat="1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3" fontId="10" fillId="4" borderId="16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3" fontId="9" fillId="4" borderId="16" xfId="0" applyNumberFormat="1" applyFont="1" applyFill="1" applyBorder="1" applyAlignment="1">
      <alignment horizontal="center"/>
    </xf>
    <xf numFmtId="0" fontId="0" fillId="2" borderId="23" xfId="0" applyFill="1" applyBorder="1"/>
    <xf numFmtId="0" fontId="0" fillId="2" borderId="24" xfId="0" applyFill="1" applyBorder="1"/>
    <xf numFmtId="0" fontId="1" fillId="2" borderId="24" xfId="0" applyFont="1" applyFill="1" applyBorder="1"/>
    <xf numFmtId="0" fontId="0" fillId="2" borderId="2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E2" sqref="E2"/>
    </sheetView>
  </sheetViews>
  <sheetFormatPr baseColWidth="10" defaultRowHeight="15" x14ac:dyDescent="0.25"/>
  <sheetData>
    <row r="1" spans="1:14" x14ac:dyDescent="0.25">
      <c r="A1" s="86"/>
      <c r="B1" s="87"/>
      <c r="C1" s="87"/>
      <c r="D1" s="87"/>
      <c r="E1" s="88"/>
      <c r="F1" s="88" t="s">
        <v>29</v>
      </c>
      <c r="G1" s="88"/>
      <c r="H1" s="88"/>
      <c r="I1" s="88"/>
      <c r="J1" s="88"/>
      <c r="K1" s="88"/>
      <c r="L1" s="88"/>
      <c r="M1" s="88"/>
      <c r="N1" s="89"/>
    </row>
    <row r="2" spans="1:14" ht="15.75" thickBot="1" x14ac:dyDescent="0.3">
      <c r="A2" s="1"/>
      <c r="B2" s="2"/>
      <c r="C2" s="2"/>
      <c r="D2" s="2"/>
      <c r="E2" s="3" t="s">
        <v>28</v>
      </c>
      <c r="F2" s="3"/>
      <c r="G2" s="3"/>
      <c r="H2" s="3"/>
      <c r="I2" s="3"/>
      <c r="J2" s="3"/>
      <c r="K2" s="3"/>
      <c r="L2" s="3"/>
      <c r="M2" s="3"/>
      <c r="N2" s="4"/>
    </row>
    <row r="3" spans="1:14" ht="15.75" thickBot="1" x14ac:dyDescent="0.3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ht="15.75" thickBot="1" x14ac:dyDescent="0.3">
      <c r="A4" s="8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10" t="s">
        <v>13</v>
      </c>
    </row>
    <row r="5" spans="1:14" ht="16.5" x14ac:dyDescent="0.3">
      <c r="A5" s="11" t="s">
        <v>14</v>
      </c>
      <c r="B5" s="30">
        <v>6179</v>
      </c>
      <c r="C5" s="78">
        <v>5671</v>
      </c>
      <c r="D5" s="23">
        <v>6145</v>
      </c>
      <c r="E5" s="73">
        <v>6191</v>
      </c>
      <c r="F5" s="67">
        <v>6707</v>
      </c>
      <c r="G5" s="61">
        <v>6691</v>
      </c>
      <c r="H5" s="55">
        <v>6754</v>
      </c>
      <c r="I5" s="49">
        <v>6111</v>
      </c>
      <c r="J5" s="43">
        <v>6693</v>
      </c>
      <c r="K5" s="37">
        <v>6753</v>
      </c>
      <c r="L5" s="30">
        <v>5726</v>
      </c>
      <c r="M5" s="26">
        <v>5699</v>
      </c>
      <c r="N5" s="12">
        <f>SUM(B5:M5)</f>
        <v>75320</v>
      </c>
    </row>
    <row r="6" spans="1:14" ht="16.5" x14ac:dyDescent="0.3">
      <c r="A6" s="11"/>
      <c r="B6" s="31"/>
      <c r="C6" s="79"/>
      <c r="D6" s="24"/>
      <c r="E6" s="74"/>
      <c r="F6" s="68"/>
      <c r="G6" s="62"/>
      <c r="H6" s="56"/>
      <c r="I6" s="50"/>
      <c r="J6" s="44"/>
      <c r="K6" s="38"/>
      <c r="L6" s="31"/>
      <c r="M6" s="14"/>
      <c r="N6" s="13"/>
    </row>
    <row r="7" spans="1:14" ht="16.5" x14ac:dyDescent="0.3">
      <c r="A7" s="11" t="s">
        <v>15</v>
      </c>
      <c r="B7" s="31">
        <v>388</v>
      </c>
      <c r="C7" s="79">
        <v>425</v>
      </c>
      <c r="D7" s="24">
        <v>513</v>
      </c>
      <c r="E7" s="74">
        <v>418</v>
      </c>
      <c r="F7" s="68">
        <v>460</v>
      </c>
      <c r="G7" s="62">
        <v>448</v>
      </c>
      <c r="H7" s="56">
        <v>480</v>
      </c>
      <c r="I7" s="50">
        <v>444</v>
      </c>
      <c r="J7" s="44">
        <v>406</v>
      </c>
      <c r="K7" s="38">
        <v>536</v>
      </c>
      <c r="L7" s="31">
        <v>478</v>
      </c>
      <c r="M7" s="14">
        <v>377</v>
      </c>
      <c r="N7" s="12">
        <f>SUM(B7:M7)</f>
        <v>5373</v>
      </c>
    </row>
    <row r="8" spans="1:14" ht="16.5" x14ac:dyDescent="0.3">
      <c r="A8" s="11"/>
      <c r="B8" s="31"/>
      <c r="C8" s="79"/>
      <c r="D8" s="24"/>
      <c r="E8" s="74"/>
      <c r="F8" s="68"/>
      <c r="G8" s="62"/>
      <c r="H8" s="56"/>
      <c r="I8" s="50"/>
      <c r="J8" s="44"/>
      <c r="K8" s="38"/>
      <c r="L8" s="31"/>
      <c r="M8" s="14"/>
      <c r="N8" s="13"/>
    </row>
    <row r="9" spans="1:14" ht="16.5" x14ac:dyDescent="0.3">
      <c r="A9" s="11" t="s">
        <v>16</v>
      </c>
      <c r="B9" s="32">
        <v>2935</v>
      </c>
      <c r="C9" s="80">
        <v>2975</v>
      </c>
      <c r="D9" s="23">
        <v>3728</v>
      </c>
      <c r="E9" s="73">
        <v>3073</v>
      </c>
      <c r="F9" s="69">
        <v>3269</v>
      </c>
      <c r="G9" s="63">
        <v>3238</v>
      </c>
      <c r="H9" s="57">
        <v>3322</v>
      </c>
      <c r="I9" s="51">
        <v>3151</v>
      </c>
      <c r="J9" s="45">
        <v>3012</v>
      </c>
      <c r="K9" s="39">
        <v>3154</v>
      </c>
      <c r="L9" s="32">
        <v>3040</v>
      </c>
      <c r="M9" s="27">
        <v>2842</v>
      </c>
      <c r="N9" s="12">
        <f>SUM(B9:M9)</f>
        <v>37739</v>
      </c>
    </row>
    <row r="10" spans="1:14" ht="16.5" x14ac:dyDescent="0.3">
      <c r="A10" s="11"/>
      <c r="B10" s="31"/>
      <c r="C10" s="79"/>
      <c r="D10" s="24"/>
      <c r="E10" s="74"/>
      <c r="F10" s="68"/>
      <c r="G10" s="62"/>
      <c r="H10" s="56"/>
      <c r="I10" s="50"/>
      <c r="J10" s="44"/>
      <c r="K10" s="38"/>
      <c r="L10" s="31"/>
      <c r="M10" s="14"/>
      <c r="N10" s="13"/>
    </row>
    <row r="11" spans="1:14" ht="16.5" x14ac:dyDescent="0.3">
      <c r="A11" s="11" t="s">
        <v>17</v>
      </c>
      <c r="B11" s="32">
        <v>8365</v>
      </c>
      <c r="C11" s="80">
        <v>8111</v>
      </c>
      <c r="D11" s="23">
        <v>10060</v>
      </c>
      <c r="E11" s="73">
        <v>8536</v>
      </c>
      <c r="F11" s="69">
        <v>9268</v>
      </c>
      <c r="G11" s="63">
        <v>9445</v>
      </c>
      <c r="H11" s="57">
        <v>9948</v>
      </c>
      <c r="I11" s="51">
        <v>9058</v>
      </c>
      <c r="J11" s="45">
        <v>8919</v>
      </c>
      <c r="K11" s="39">
        <v>9221</v>
      </c>
      <c r="L11" s="32">
        <v>8789</v>
      </c>
      <c r="M11" s="27">
        <v>7348</v>
      </c>
      <c r="N11" s="12">
        <f>SUM(B11:M11)</f>
        <v>107068</v>
      </c>
    </row>
    <row r="12" spans="1:14" ht="16.5" x14ac:dyDescent="0.3">
      <c r="A12" s="11"/>
      <c r="B12" s="31"/>
      <c r="C12" s="79"/>
      <c r="D12" s="24"/>
      <c r="E12" s="74"/>
      <c r="F12" s="68"/>
      <c r="G12" s="62"/>
      <c r="H12" s="56"/>
      <c r="I12" s="50"/>
      <c r="J12" s="44"/>
      <c r="K12" s="38"/>
      <c r="L12" s="31"/>
      <c r="M12" s="14"/>
      <c r="N12" s="13"/>
    </row>
    <row r="13" spans="1:14" ht="16.5" x14ac:dyDescent="0.3">
      <c r="A13" s="11" t="s">
        <v>18</v>
      </c>
      <c r="B13" s="31">
        <v>605</v>
      </c>
      <c r="C13" s="79">
        <v>542</v>
      </c>
      <c r="D13" s="24">
        <v>667</v>
      </c>
      <c r="E13" s="74">
        <v>630</v>
      </c>
      <c r="F13" s="68">
        <v>723</v>
      </c>
      <c r="G13" s="62">
        <v>617</v>
      </c>
      <c r="H13" s="56">
        <v>766</v>
      </c>
      <c r="I13" s="50">
        <v>667</v>
      </c>
      <c r="J13" s="44">
        <v>657</v>
      </c>
      <c r="K13" s="38">
        <v>931</v>
      </c>
      <c r="L13" s="31">
        <v>755</v>
      </c>
      <c r="M13" s="14">
        <v>557</v>
      </c>
      <c r="N13" s="12">
        <f>SUM(B13:M13)</f>
        <v>8117</v>
      </c>
    </row>
    <row r="14" spans="1:14" ht="16.5" x14ac:dyDescent="0.3">
      <c r="A14" s="11"/>
      <c r="B14" s="31"/>
      <c r="C14" s="79"/>
      <c r="D14" s="24"/>
      <c r="E14" s="74"/>
      <c r="F14" s="68"/>
      <c r="G14" s="62"/>
      <c r="H14" s="56"/>
      <c r="I14" s="50"/>
      <c r="J14" s="44"/>
      <c r="K14" s="38"/>
      <c r="L14" s="31"/>
      <c r="M14" s="14"/>
      <c r="N14" s="13"/>
    </row>
    <row r="15" spans="1:14" ht="16.5" x14ac:dyDescent="0.3">
      <c r="A15" s="11" t="s">
        <v>19</v>
      </c>
      <c r="B15" s="32">
        <v>1511</v>
      </c>
      <c r="C15" s="80">
        <v>1626</v>
      </c>
      <c r="D15" s="23">
        <v>1982</v>
      </c>
      <c r="E15" s="73">
        <v>1639</v>
      </c>
      <c r="F15" s="69">
        <v>1909</v>
      </c>
      <c r="G15" s="63">
        <v>1781</v>
      </c>
      <c r="H15" s="57">
        <v>1525</v>
      </c>
      <c r="I15" s="51">
        <v>1503</v>
      </c>
      <c r="J15" s="45">
        <v>1689</v>
      </c>
      <c r="K15" s="39">
        <v>1336</v>
      </c>
      <c r="L15" s="32">
        <v>1410</v>
      </c>
      <c r="M15" s="27">
        <v>1327</v>
      </c>
      <c r="N15" s="12">
        <f>SUM(B15:M15)</f>
        <v>19238</v>
      </c>
    </row>
    <row r="16" spans="1:14" ht="16.5" x14ac:dyDescent="0.3">
      <c r="A16" s="11"/>
      <c r="B16" s="31"/>
      <c r="C16" s="79"/>
      <c r="D16" s="24"/>
      <c r="E16" s="74"/>
      <c r="F16" s="68"/>
      <c r="G16" s="62"/>
      <c r="H16" s="56"/>
      <c r="I16" s="50"/>
      <c r="J16" s="44"/>
      <c r="K16" s="38"/>
      <c r="L16" s="31"/>
      <c r="M16" s="14"/>
      <c r="N16" s="13"/>
    </row>
    <row r="17" spans="1:14" ht="16.5" x14ac:dyDescent="0.3">
      <c r="A17" s="11" t="s">
        <v>20</v>
      </c>
      <c r="B17" s="31">
        <v>142</v>
      </c>
      <c r="C17" s="79">
        <v>148</v>
      </c>
      <c r="D17" s="24">
        <v>223</v>
      </c>
      <c r="E17" s="74">
        <v>171</v>
      </c>
      <c r="F17" s="68">
        <v>206</v>
      </c>
      <c r="G17" s="62">
        <v>124</v>
      </c>
      <c r="H17" s="56">
        <v>154</v>
      </c>
      <c r="I17" s="50">
        <v>142</v>
      </c>
      <c r="J17" s="44">
        <v>144</v>
      </c>
      <c r="K17" s="38">
        <v>150</v>
      </c>
      <c r="L17" s="31">
        <v>167</v>
      </c>
      <c r="M17" s="14">
        <v>152</v>
      </c>
      <c r="N17" s="12">
        <f>SUM(B17:M17)</f>
        <v>1923</v>
      </c>
    </row>
    <row r="18" spans="1:14" ht="16.5" x14ac:dyDescent="0.3">
      <c r="A18" s="11"/>
      <c r="B18" s="31"/>
      <c r="C18" s="79"/>
      <c r="D18" s="24"/>
      <c r="E18" s="74"/>
      <c r="F18" s="68"/>
      <c r="G18" s="62"/>
      <c r="H18" s="56"/>
      <c r="I18" s="50"/>
      <c r="J18" s="44"/>
      <c r="K18" s="38"/>
      <c r="L18" s="31"/>
      <c r="M18" s="14"/>
      <c r="N18" s="13"/>
    </row>
    <row r="19" spans="1:14" ht="16.5" x14ac:dyDescent="0.3">
      <c r="A19" s="11" t="s">
        <v>21</v>
      </c>
      <c r="B19" s="31">
        <v>10</v>
      </c>
      <c r="C19" s="79">
        <v>21</v>
      </c>
      <c r="D19" s="24">
        <v>21</v>
      </c>
      <c r="E19" s="74">
        <v>11</v>
      </c>
      <c r="F19" s="68">
        <v>30</v>
      </c>
      <c r="G19" s="62">
        <v>25</v>
      </c>
      <c r="H19" s="56">
        <v>12</v>
      </c>
      <c r="I19" s="50">
        <v>15</v>
      </c>
      <c r="J19" s="44">
        <v>23</v>
      </c>
      <c r="K19" s="38">
        <v>8</v>
      </c>
      <c r="L19" s="31">
        <v>25</v>
      </c>
      <c r="M19" s="14">
        <v>25</v>
      </c>
      <c r="N19" s="13">
        <f>SUM(B19:M19)</f>
        <v>226</v>
      </c>
    </row>
    <row r="20" spans="1:14" ht="16.5" x14ac:dyDescent="0.3">
      <c r="A20" s="11"/>
      <c r="B20" s="31"/>
      <c r="C20" s="79"/>
      <c r="D20" s="24"/>
      <c r="E20" s="74"/>
      <c r="F20" s="68"/>
      <c r="G20" s="62"/>
      <c r="H20" s="56"/>
      <c r="I20" s="50"/>
      <c r="J20" s="44"/>
      <c r="K20" s="38"/>
      <c r="L20" s="31"/>
      <c r="M20" s="14"/>
      <c r="N20" s="13"/>
    </row>
    <row r="21" spans="1:14" ht="16.5" x14ac:dyDescent="0.3">
      <c r="A21" s="11" t="s">
        <v>22</v>
      </c>
      <c r="B21" s="31">
        <v>1</v>
      </c>
      <c r="C21" s="79">
        <v>3</v>
      </c>
      <c r="D21" s="24">
        <v>3</v>
      </c>
      <c r="E21" s="74">
        <v>0</v>
      </c>
      <c r="F21" s="68">
        <v>2</v>
      </c>
      <c r="G21" s="62">
        <v>6</v>
      </c>
      <c r="H21" s="56">
        <v>1</v>
      </c>
      <c r="I21" s="50">
        <v>2</v>
      </c>
      <c r="J21" s="44">
        <v>4</v>
      </c>
      <c r="K21" s="38">
        <v>0</v>
      </c>
      <c r="L21" s="31">
        <v>1</v>
      </c>
      <c r="M21" s="14">
        <v>2</v>
      </c>
      <c r="N21" s="13">
        <f>SUM(B21:M21)</f>
        <v>25</v>
      </c>
    </row>
    <row r="22" spans="1:14" ht="16.5" x14ac:dyDescent="0.3">
      <c r="A22" s="11"/>
      <c r="B22" s="31"/>
      <c r="C22" s="79"/>
      <c r="D22" s="24"/>
      <c r="E22" s="74"/>
      <c r="F22" s="68"/>
      <c r="G22" s="62"/>
      <c r="H22" s="56"/>
      <c r="I22" s="50"/>
      <c r="J22" s="44"/>
      <c r="K22" s="38"/>
      <c r="L22" s="33"/>
      <c r="M22" s="14" t="s">
        <v>27</v>
      </c>
      <c r="N22" s="13"/>
    </row>
    <row r="23" spans="1:14" ht="16.5" x14ac:dyDescent="0.3">
      <c r="A23" s="11" t="s">
        <v>23</v>
      </c>
      <c r="B23" s="34">
        <f t="shared" ref="B23" si="0">SUM(B5:B22)</f>
        <v>20136</v>
      </c>
      <c r="C23" s="81">
        <v>19522</v>
      </c>
      <c r="D23" s="22">
        <v>23342</v>
      </c>
      <c r="E23" s="75">
        <f t="shared" ref="E23" si="1">SUM(E5:E22)</f>
        <v>20669</v>
      </c>
      <c r="F23" s="70">
        <f t="shared" ref="F23" si="2">SUM(F5:F22)</f>
        <v>22574</v>
      </c>
      <c r="G23" s="64">
        <f t="shared" ref="G23" si="3">SUM(G5:G22)</f>
        <v>22375</v>
      </c>
      <c r="H23" s="58">
        <f>SUM(H5:H22)</f>
        <v>22962</v>
      </c>
      <c r="I23" s="52">
        <f>SUM(I5:I22)</f>
        <v>21093</v>
      </c>
      <c r="J23" s="46">
        <v>21547</v>
      </c>
      <c r="K23" s="40">
        <f>SUM(K5:K22)</f>
        <v>22089</v>
      </c>
      <c r="L23" s="34">
        <f>SUM(L5:L22)</f>
        <v>20391</v>
      </c>
      <c r="M23" s="27">
        <f>SUM(M5:M22)</f>
        <v>18329</v>
      </c>
      <c r="N23" s="15">
        <f>SUM(B23:M23)</f>
        <v>255029</v>
      </c>
    </row>
    <row r="24" spans="1:14" ht="16.5" x14ac:dyDescent="0.3">
      <c r="A24" s="11"/>
      <c r="B24" s="31"/>
      <c r="C24" s="79"/>
      <c r="D24" s="24"/>
      <c r="E24" s="74"/>
      <c r="F24" s="68"/>
      <c r="G24" s="62"/>
      <c r="H24" s="56"/>
      <c r="I24" s="50"/>
      <c r="J24" s="44"/>
      <c r="K24" s="38"/>
      <c r="L24" s="33"/>
      <c r="M24" s="14"/>
      <c r="N24" s="13"/>
    </row>
    <row r="25" spans="1:14" ht="16.5" x14ac:dyDescent="0.3">
      <c r="A25" s="11" t="s">
        <v>24</v>
      </c>
      <c r="B25" s="31">
        <v>182</v>
      </c>
      <c r="C25" s="79">
        <v>229</v>
      </c>
      <c r="D25" s="19">
        <v>294</v>
      </c>
      <c r="E25" s="74">
        <v>198</v>
      </c>
      <c r="F25" s="68">
        <v>263</v>
      </c>
      <c r="G25" s="62">
        <v>243</v>
      </c>
      <c r="H25" s="56">
        <v>261</v>
      </c>
      <c r="I25" s="50">
        <v>246</v>
      </c>
      <c r="J25" s="44">
        <v>220</v>
      </c>
      <c r="K25" s="38">
        <v>254</v>
      </c>
      <c r="L25" s="31">
        <v>271</v>
      </c>
      <c r="M25" s="14">
        <v>166</v>
      </c>
      <c r="N25" s="12">
        <f>SUM(B25:M25)</f>
        <v>2827</v>
      </c>
    </row>
    <row r="26" spans="1:14" ht="16.5" x14ac:dyDescent="0.3">
      <c r="A26" s="11"/>
      <c r="B26" s="31"/>
      <c r="C26" s="79"/>
      <c r="D26" s="24"/>
      <c r="E26" s="74"/>
      <c r="F26" s="68"/>
      <c r="G26" s="62"/>
      <c r="H26" s="56"/>
      <c r="I26" s="50"/>
      <c r="J26" s="44"/>
      <c r="K26" s="38"/>
      <c r="L26" s="31"/>
      <c r="M26" s="14"/>
      <c r="N26" s="13"/>
    </row>
    <row r="27" spans="1:14" ht="16.5" x14ac:dyDescent="0.3">
      <c r="A27" s="11" t="s">
        <v>25</v>
      </c>
      <c r="B27" s="31">
        <v>33</v>
      </c>
      <c r="C27" s="79">
        <v>32</v>
      </c>
      <c r="D27" s="20">
        <v>54</v>
      </c>
      <c r="E27" s="74">
        <v>40</v>
      </c>
      <c r="F27" s="68">
        <v>58</v>
      </c>
      <c r="G27" s="62">
        <v>40</v>
      </c>
      <c r="H27" s="56">
        <v>23</v>
      </c>
      <c r="I27" s="50">
        <v>49</v>
      </c>
      <c r="J27" s="44">
        <v>43</v>
      </c>
      <c r="K27" s="38">
        <v>35</v>
      </c>
      <c r="L27" s="31">
        <v>37</v>
      </c>
      <c r="M27" s="14">
        <v>32</v>
      </c>
      <c r="N27" s="13">
        <f>SUM(B27:M27)</f>
        <v>476</v>
      </c>
    </row>
    <row r="28" spans="1:14" ht="17.25" thickBot="1" x14ac:dyDescent="0.35">
      <c r="A28" s="11"/>
      <c r="B28" s="84"/>
      <c r="C28" s="82"/>
      <c r="D28" s="21"/>
      <c r="E28" s="76"/>
      <c r="F28" s="71"/>
      <c r="G28" s="65"/>
      <c r="H28" s="59"/>
      <c r="I28" s="53"/>
      <c r="J28" s="47"/>
      <c r="K28" s="41"/>
      <c r="L28" s="35"/>
      <c r="M28" s="28"/>
      <c r="N28" s="16"/>
    </row>
    <row r="29" spans="1:14" ht="17.25" thickBot="1" x14ac:dyDescent="0.35">
      <c r="A29" s="17" t="s">
        <v>26</v>
      </c>
      <c r="B29" s="85">
        <f t="shared" ref="B29" si="4">SUM(B23:B28)</f>
        <v>20351</v>
      </c>
      <c r="C29" s="83">
        <v>19783</v>
      </c>
      <c r="D29" s="25">
        <v>23690</v>
      </c>
      <c r="E29" s="77">
        <f t="shared" ref="E29" si="5">SUM(E23:E28)</f>
        <v>20907</v>
      </c>
      <c r="F29" s="72">
        <f t="shared" ref="F29" si="6">SUM(F23:F28)</f>
        <v>22895</v>
      </c>
      <c r="G29" s="66">
        <f t="shared" ref="G29" si="7">SUM(G23:G28)</f>
        <v>22658</v>
      </c>
      <c r="H29" s="60">
        <f>SUM(H23:H28)</f>
        <v>23246</v>
      </c>
      <c r="I29" s="54">
        <f>SUM(I23:I28)</f>
        <v>21388</v>
      </c>
      <c r="J29" s="48">
        <v>21810</v>
      </c>
      <c r="K29" s="42">
        <f>SUM(K23:K28)</f>
        <v>22378</v>
      </c>
      <c r="L29" s="36">
        <f>SUM(L23:L28)</f>
        <v>20699</v>
      </c>
      <c r="M29" s="29">
        <f>SUM(M23:M28)</f>
        <v>18527</v>
      </c>
      <c r="N29" s="18">
        <f>SUM(B29:M29)</f>
        <v>258332</v>
      </c>
    </row>
  </sheetData>
  <conditionalFormatting sqref="A5:N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N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2026-05-17T19:21:49Z</dcterms:created>
  <dcterms:modified xsi:type="dcterms:W3CDTF">2026-05-17T19:34:45Z</dcterms:modified>
</cp:coreProperties>
</file>