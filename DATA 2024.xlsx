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ocuments\Ciencas de datos\Analisis data Hospital\"/>
    </mc:Choice>
  </mc:AlternateContent>
  <bookViews>
    <workbookView xWindow="0" yWindow="0" windowWidth="20490" windowHeight="7635"/>
  </bookViews>
  <sheets>
    <sheet name="Data 2024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9" i="1" l="1"/>
  <c r="K29" i="1"/>
  <c r="F29" i="1"/>
  <c r="D29" i="1"/>
  <c r="C29" i="1"/>
  <c r="N27" i="1"/>
  <c r="N25" i="1"/>
  <c r="M23" i="1"/>
  <c r="M29" i="1" s="1"/>
  <c r="L23" i="1"/>
  <c r="K23" i="1"/>
  <c r="J23" i="1"/>
  <c r="J29" i="1" s="1"/>
  <c r="I23" i="1"/>
  <c r="I29" i="1" s="1"/>
  <c r="H23" i="1"/>
  <c r="H29" i="1" s="1"/>
  <c r="G23" i="1"/>
  <c r="G29" i="1" s="1"/>
  <c r="F23" i="1"/>
  <c r="E23" i="1"/>
  <c r="E29" i="1" s="1"/>
  <c r="D23" i="1"/>
  <c r="C23" i="1"/>
  <c r="B23" i="1"/>
  <c r="B29" i="1" s="1"/>
  <c r="N21" i="1"/>
  <c r="N19" i="1"/>
  <c r="N17" i="1"/>
  <c r="N15" i="1"/>
  <c r="N13" i="1"/>
  <c r="N11" i="1"/>
  <c r="N9" i="1"/>
  <c r="N7" i="1"/>
  <c r="N5" i="1"/>
  <c r="N29" i="1" l="1"/>
  <c r="N23" i="1"/>
</calcChain>
</file>

<file path=xl/sharedStrings.xml><?xml version="1.0" encoding="utf-8"?>
<sst xmlns="http://schemas.openxmlformats.org/spreadsheetml/2006/main" count="29" uniqueCount="29">
  <si>
    <t>ESTUDIO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</si>
  <si>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</si>
  <si>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</si>
  <si>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</si>
  <si>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</si>
  <si>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</si>
  <si>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</si>
  <si>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</si>
  <si>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</si>
  <si>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</t>
  </si>
  <si>
    <t>OCTUBRE</t>
  </si>
  <si>
    <t>NOVIEMB</t>
  </si>
  <si>
    <t>DICIEMB</t>
  </si>
  <si>
    <t>TOTAL</t>
  </si>
  <si>
    <t>RX</t>
  </si>
  <si>
    <t>DENSITOMETRIAS</t>
  </si>
  <si>
    <t>TOMOGRAFIAS</t>
  </si>
  <si>
    <t>SONOGRAFIAS</t>
  </si>
  <si>
    <t>MAMOGRAFIAS</t>
  </si>
  <si>
    <t>RESONANCIAS</t>
  </si>
  <si>
    <t>BIOPSIAS</t>
  </si>
  <si>
    <t>RIV/DRENAJE/TOMODIRIGIDAS</t>
  </si>
  <si>
    <t>ANGIOGRAFIAS(RIV)</t>
  </si>
  <si>
    <t>SUB-TOTAL</t>
  </si>
  <si>
    <t>M.NUCLEAR. ESTUDIOS **</t>
  </si>
  <si>
    <t>M.N. PROCEDIMIENTOS**</t>
  </si>
  <si>
    <t>TOTAL GENERAL</t>
  </si>
  <si>
    <t>ESTUDIOS REALIZADOS ENERO-DICIEMBRE (2024)</t>
  </si>
  <si>
    <t xml:space="preserve">       DEPARTAMENTO DE IMÁGENES MEDICAS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</si>
</sst>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1" fillId="2" borderId="5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2" fillId="2" borderId="13" xfId="0" applyFont="1" applyFill="1" applyBorder="1"/>
    <xf numFmtId="3" fontId="3" fillId="2" borderId="14" xfId="0" applyNumberFormat="1" applyFont="1" applyFill="1" applyBorder="1" applyAlignment="1">
      <alignment horizontal="center"/>
    </xf>
    <xf numFmtId="3" fontId="3" fillId="2" borderId="15" xfId="0" applyNumberFormat="1" applyFont="1" applyFill="1" applyBorder="1" applyAlignment="1">
      <alignment horizontal="center"/>
    </xf>
    <xf numFmtId="3" fontId="4" fillId="2" borderId="15" xfId="0" applyNumberFormat="1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4" xfId="0" applyFont="1" applyFill="1" applyBorder="1"/>
    <xf numFmtId="3" fontId="6" fillId="2" borderId="14" xfId="0" applyNumberFormat="1" applyFont="1" applyFill="1" applyBorder="1" applyAlignment="1">
      <alignment horizontal="center"/>
    </xf>
    <xf numFmtId="3" fontId="6" fillId="2" borderId="15" xfId="0" applyNumberFormat="1" applyFont="1" applyFill="1" applyBorder="1" applyAlignment="1">
      <alignment horizontal="center"/>
    </xf>
    <xf numFmtId="3" fontId="7" fillId="2" borderId="15" xfId="0" applyNumberFormat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3" fontId="6" fillId="3" borderId="19" xfId="0" applyNumberFormat="1" applyFont="1" applyFill="1" applyBorder="1" applyAlignment="1">
      <alignment horizontal="center"/>
    </xf>
    <xf numFmtId="3" fontId="6" fillId="3" borderId="20" xfId="0" applyNumberFormat="1" applyFont="1" applyFill="1" applyBorder="1" applyAlignment="1">
      <alignment horizontal="center"/>
    </xf>
    <xf numFmtId="3" fontId="6" fillId="3" borderId="21" xfId="0" applyNumberFormat="1" applyFont="1" applyFill="1" applyBorder="1" applyAlignment="1">
      <alignment horizontal="center"/>
    </xf>
    <xf numFmtId="3" fontId="6" fillId="3" borderId="20" xfId="0" applyNumberFormat="1" applyFont="1" applyFill="1" applyBorder="1"/>
    <xf numFmtId="3" fontId="7" fillId="3" borderId="2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F1" sqref="F1"/>
    </sheetView>
  </sheetViews>
  <sheetFormatPr baseColWidth="10" defaultRowHeight="15" x14ac:dyDescent="0.25"/>
  <cols>
    <col min="1" max="1" width="28.85546875" bestFit="1" customWidth="1"/>
  </cols>
  <sheetData>
    <row r="1" spans="1:14" x14ac:dyDescent="0.25">
      <c r="A1" s="1"/>
      <c r="B1" s="2"/>
      <c r="C1" s="2"/>
      <c r="D1" s="2"/>
      <c r="E1" s="3"/>
      <c r="F1" s="3" t="s">
        <v>28</v>
      </c>
      <c r="G1" s="3"/>
      <c r="H1" s="3"/>
      <c r="I1" s="3"/>
      <c r="J1" s="3"/>
      <c r="K1" s="3"/>
      <c r="L1" s="3"/>
      <c r="M1" s="3"/>
      <c r="N1" s="4"/>
    </row>
    <row r="2" spans="1:14" ht="15.75" thickBot="1" x14ac:dyDescent="0.3">
      <c r="A2" s="5"/>
      <c r="B2" s="6"/>
      <c r="C2" s="6"/>
      <c r="D2" s="6"/>
      <c r="E2" s="7" t="s">
        <v>27</v>
      </c>
      <c r="F2" s="7"/>
      <c r="G2" s="7"/>
      <c r="H2" s="7"/>
      <c r="I2" s="7"/>
      <c r="J2" s="7"/>
      <c r="K2" s="7"/>
      <c r="L2" s="7"/>
      <c r="M2" s="7"/>
      <c r="N2" s="8"/>
    </row>
    <row r="3" spans="1:14" ht="15.75" thickBot="1" x14ac:dyDescent="0.3">
      <c r="A3" s="9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x14ac:dyDescent="0.25">
      <c r="A4" s="12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4" t="s">
        <v>13</v>
      </c>
    </row>
    <row r="5" spans="1:14" ht="15.75" x14ac:dyDescent="0.25">
      <c r="A5" s="15" t="s">
        <v>14</v>
      </c>
      <c r="B5" s="16">
        <v>6481</v>
      </c>
      <c r="C5" s="16">
        <v>5930</v>
      </c>
      <c r="D5" s="16">
        <v>6257</v>
      </c>
      <c r="E5" s="17">
        <v>7225</v>
      </c>
      <c r="F5" s="16">
        <v>7153</v>
      </c>
      <c r="G5" s="16">
        <v>6773</v>
      </c>
      <c r="H5" s="16">
        <v>6950</v>
      </c>
      <c r="I5" s="16">
        <v>6497</v>
      </c>
      <c r="J5" s="16">
        <v>6485</v>
      </c>
      <c r="K5" s="16">
        <v>7572</v>
      </c>
      <c r="L5" s="16">
        <v>6334</v>
      </c>
      <c r="M5" s="16">
        <v>6130</v>
      </c>
      <c r="N5" s="18">
        <f>SUM(B5:M5)</f>
        <v>79787</v>
      </c>
    </row>
    <row r="6" spans="1:14" ht="15.75" x14ac:dyDescent="0.25">
      <c r="A6" s="15"/>
      <c r="B6" s="19"/>
      <c r="C6" s="19"/>
      <c r="D6" s="19"/>
      <c r="E6" s="20"/>
      <c r="F6" s="19"/>
      <c r="G6" s="19"/>
      <c r="H6" s="19"/>
      <c r="I6" s="19"/>
      <c r="J6" s="19"/>
      <c r="K6" s="19"/>
      <c r="L6" s="19"/>
      <c r="M6" s="19"/>
      <c r="N6" s="21"/>
    </row>
    <row r="7" spans="1:14" ht="15.75" x14ac:dyDescent="0.25">
      <c r="A7" s="15" t="s">
        <v>15</v>
      </c>
      <c r="B7" s="22">
        <v>482</v>
      </c>
      <c r="C7" s="19">
        <v>521</v>
      </c>
      <c r="D7" s="19">
        <v>472</v>
      </c>
      <c r="E7" s="20">
        <v>504</v>
      </c>
      <c r="F7" s="19">
        <v>493</v>
      </c>
      <c r="G7" s="19">
        <v>434</v>
      </c>
      <c r="H7" s="19">
        <v>488</v>
      </c>
      <c r="I7" s="19">
        <v>491</v>
      </c>
      <c r="J7" s="19">
        <v>422</v>
      </c>
      <c r="K7" s="19">
        <v>485</v>
      </c>
      <c r="L7" s="19">
        <v>462</v>
      </c>
      <c r="M7" s="19">
        <v>357</v>
      </c>
      <c r="N7" s="18">
        <f>SUM(B7:M7)</f>
        <v>5611</v>
      </c>
    </row>
    <row r="8" spans="1:14" ht="15.75" x14ac:dyDescent="0.25">
      <c r="A8" s="15"/>
      <c r="B8" s="19"/>
      <c r="C8" s="19"/>
      <c r="D8" s="19"/>
      <c r="E8" s="20"/>
      <c r="F8" s="19"/>
      <c r="G8" s="19"/>
      <c r="H8" s="19"/>
      <c r="I8" s="19"/>
      <c r="J8" s="19"/>
      <c r="K8" s="19"/>
      <c r="L8" s="19"/>
      <c r="M8" s="19"/>
      <c r="N8" s="21"/>
    </row>
    <row r="9" spans="1:14" ht="15.75" x14ac:dyDescent="0.25">
      <c r="A9" s="15" t="s">
        <v>16</v>
      </c>
      <c r="B9" s="16">
        <v>3290</v>
      </c>
      <c r="C9" s="16">
        <v>3306</v>
      </c>
      <c r="D9" s="16">
        <v>2752</v>
      </c>
      <c r="E9" s="17">
        <v>2700</v>
      </c>
      <c r="F9" s="16">
        <v>3221</v>
      </c>
      <c r="G9" s="16">
        <v>3226</v>
      </c>
      <c r="H9" s="16">
        <v>3477</v>
      </c>
      <c r="I9" s="16">
        <v>3446</v>
      </c>
      <c r="J9" s="16">
        <v>3166</v>
      </c>
      <c r="K9" s="16">
        <v>3630</v>
      </c>
      <c r="L9" s="16">
        <v>3313</v>
      </c>
      <c r="M9" s="16">
        <v>2744</v>
      </c>
      <c r="N9" s="18">
        <f>SUM(B9:M9)</f>
        <v>38271</v>
      </c>
    </row>
    <row r="10" spans="1:14" ht="15.75" x14ac:dyDescent="0.25">
      <c r="A10" s="15"/>
      <c r="B10" s="19"/>
      <c r="C10" s="19"/>
      <c r="D10" s="19"/>
      <c r="E10" s="20"/>
      <c r="F10" s="19"/>
      <c r="G10" s="19"/>
      <c r="H10" s="19"/>
      <c r="I10" s="19"/>
      <c r="J10" s="19"/>
      <c r="K10" s="19"/>
      <c r="L10" s="19"/>
      <c r="M10" s="19"/>
      <c r="N10" s="21"/>
    </row>
    <row r="11" spans="1:14" ht="15.75" x14ac:dyDescent="0.25">
      <c r="A11" s="15" t="s">
        <v>17</v>
      </c>
      <c r="B11" s="16">
        <v>9692</v>
      </c>
      <c r="C11" s="16">
        <v>8965</v>
      </c>
      <c r="D11" s="16">
        <v>9007</v>
      </c>
      <c r="E11" s="17">
        <v>8526</v>
      </c>
      <c r="F11" s="16">
        <v>10217</v>
      </c>
      <c r="G11" s="16">
        <v>9582</v>
      </c>
      <c r="H11" s="16">
        <v>11036</v>
      </c>
      <c r="I11" s="16">
        <v>9873</v>
      </c>
      <c r="J11" s="16">
        <v>9356</v>
      </c>
      <c r="K11" s="16">
        <v>10391</v>
      </c>
      <c r="L11" s="16">
        <v>9059</v>
      </c>
      <c r="M11" s="16">
        <v>8003</v>
      </c>
      <c r="N11" s="18">
        <f>SUM(B11:M11)</f>
        <v>113707</v>
      </c>
    </row>
    <row r="12" spans="1:14" ht="15.75" x14ac:dyDescent="0.25">
      <c r="A12" s="15"/>
      <c r="B12" s="19"/>
      <c r="C12" s="19"/>
      <c r="D12" s="19"/>
      <c r="E12" s="20"/>
      <c r="F12" s="19"/>
      <c r="G12" s="19"/>
      <c r="H12" s="19"/>
      <c r="I12" s="19"/>
      <c r="J12" s="19"/>
      <c r="K12" s="19"/>
      <c r="L12" s="19"/>
      <c r="M12" s="19"/>
      <c r="N12" s="21"/>
    </row>
    <row r="13" spans="1:14" ht="15.75" x14ac:dyDescent="0.25">
      <c r="A13" s="15" t="s">
        <v>18</v>
      </c>
      <c r="B13" s="19">
        <v>749</v>
      </c>
      <c r="C13" s="19">
        <v>780</v>
      </c>
      <c r="D13" s="19">
        <v>755</v>
      </c>
      <c r="E13" s="20">
        <v>671</v>
      </c>
      <c r="F13" s="19">
        <v>787</v>
      </c>
      <c r="G13" s="19">
        <v>711</v>
      </c>
      <c r="H13" s="19">
        <v>812</v>
      </c>
      <c r="I13" s="19">
        <v>682</v>
      </c>
      <c r="J13" s="19">
        <v>605</v>
      </c>
      <c r="K13" s="19">
        <v>811</v>
      </c>
      <c r="L13" s="19">
        <v>698</v>
      </c>
      <c r="M13" s="19">
        <v>547</v>
      </c>
      <c r="N13" s="18">
        <f>SUM(B13:M13)</f>
        <v>8608</v>
      </c>
    </row>
    <row r="14" spans="1:14" ht="15.75" x14ac:dyDescent="0.25">
      <c r="A14" s="15"/>
      <c r="B14" s="19"/>
      <c r="C14" s="19"/>
      <c r="D14" s="19"/>
      <c r="E14" s="20"/>
      <c r="F14" s="19"/>
      <c r="G14" s="19"/>
      <c r="H14" s="19"/>
      <c r="I14" s="19"/>
      <c r="J14" s="19"/>
      <c r="K14" s="19"/>
      <c r="L14" s="19"/>
      <c r="M14" s="19"/>
      <c r="N14" s="21"/>
    </row>
    <row r="15" spans="1:14" ht="15.75" x14ac:dyDescent="0.25">
      <c r="A15" s="15" t="s">
        <v>19</v>
      </c>
      <c r="B15" s="16">
        <v>1711</v>
      </c>
      <c r="C15" s="16">
        <v>1733</v>
      </c>
      <c r="D15" s="16">
        <v>1683</v>
      </c>
      <c r="E15" s="17">
        <v>1786</v>
      </c>
      <c r="F15" s="16">
        <v>1736</v>
      </c>
      <c r="G15" s="16">
        <v>1701</v>
      </c>
      <c r="H15" s="16">
        <v>1827</v>
      </c>
      <c r="I15" s="16">
        <v>1767</v>
      </c>
      <c r="J15" s="16">
        <v>1732</v>
      </c>
      <c r="K15" s="16">
        <v>1889</v>
      </c>
      <c r="L15" s="16">
        <v>1565</v>
      </c>
      <c r="M15" s="16">
        <v>1540</v>
      </c>
      <c r="N15" s="18">
        <f>SUM(B15:M15)</f>
        <v>20670</v>
      </c>
    </row>
    <row r="16" spans="1:14" ht="15.75" x14ac:dyDescent="0.25">
      <c r="A16" s="15"/>
      <c r="B16" s="19"/>
      <c r="C16" s="19"/>
      <c r="D16" s="19"/>
      <c r="E16" s="20"/>
      <c r="F16" s="19"/>
      <c r="G16" s="19"/>
      <c r="H16" s="19"/>
      <c r="I16" s="19"/>
      <c r="J16" s="19"/>
      <c r="K16" s="19"/>
      <c r="L16" s="23"/>
      <c r="M16" s="19"/>
      <c r="N16" s="21"/>
    </row>
    <row r="17" spans="1:14" ht="15.75" x14ac:dyDescent="0.25">
      <c r="A17" s="15" t="s">
        <v>20</v>
      </c>
      <c r="B17" s="19">
        <v>161</v>
      </c>
      <c r="C17" s="19">
        <v>125</v>
      </c>
      <c r="D17" s="19">
        <v>118</v>
      </c>
      <c r="E17" s="20">
        <v>146</v>
      </c>
      <c r="F17" s="19">
        <v>162</v>
      </c>
      <c r="G17" s="19">
        <v>175</v>
      </c>
      <c r="H17" s="19">
        <v>241</v>
      </c>
      <c r="I17" s="19">
        <v>229</v>
      </c>
      <c r="J17" s="19">
        <v>170</v>
      </c>
      <c r="K17" s="19">
        <v>171</v>
      </c>
      <c r="L17" s="19">
        <v>173</v>
      </c>
      <c r="M17" s="19">
        <v>138</v>
      </c>
      <c r="N17" s="18">
        <f>SUM(B17:M17)</f>
        <v>2009</v>
      </c>
    </row>
    <row r="18" spans="1:14" ht="15.75" x14ac:dyDescent="0.25">
      <c r="A18" s="15"/>
      <c r="B18" s="19"/>
      <c r="C18" s="19"/>
      <c r="D18" s="19"/>
      <c r="E18" s="20"/>
      <c r="F18" s="19"/>
      <c r="G18" s="19"/>
      <c r="H18" s="19"/>
      <c r="I18" s="19"/>
      <c r="J18" s="23"/>
      <c r="K18" s="19"/>
      <c r="L18" s="23"/>
      <c r="M18" s="19"/>
      <c r="N18" s="21"/>
    </row>
    <row r="19" spans="1:14" ht="15.75" x14ac:dyDescent="0.25">
      <c r="A19" s="15" t="s">
        <v>21</v>
      </c>
      <c r="B19" s="19">
        <v>28</v>
      </c>
      <c r="C19" s="19">
        <v>12</v>
      </c>
      <c r="D19" s="19">
        <v>25</v>
      </c>
      <c r="E19" s="20">
        <v>21</v>
      </c>
      <c r="F19" s="19">
        <v>22</v>
      </c>
      <c r="G19" s="19">
        <v>29</v>
      </c>
      <c r="H19" s="19">
        <v>29</v>
      </c>
      <c r="I19" s="19">
        <v>19</v>
      </c>
      <c r="J19" s="19">
        <v>7</v>
      </c>
      <c r="K19" s="19">
        <v>29</v>
      </c>
      <c r="L19" s="19">
        <v>24</v>
      </c>
      <c r="M19" s="19">
        <v>20</v>
      </c>
      <c r="N19" s="21">
        <f>SUM(B19:M19)</f>
        <v>265</v>
      </c>
    </row>
    <row r="20" spans="1:14" ht="15.75" x14ac:dyDescent="0.25">
      <c r="A20" s="15"/>
      <c r="B20" s="19"/>
      <c r="C20" s="19"/>
      <c r="D20" s="19"/>
      <c r="E20" s="20"/>
      <c r="F20" s="19"/>
      <c r="G20" s="19"/>
      <c r="H20" s="19"/>
      <c r="I20" s="19"/>
      <c r="J20" s="23"/>
      <c r="K20" s="19"/>
      <c r="L20" s="23"/>
      <c r="M20" s="19"/>
      <c r="N20" s="21"/>
    </row>
    <row r="21" spans="1:14" ht="15.75" x14ac:dyDescent="0.25">
      <c r="A21" s="15" t="s">
        <v>22</v>
      </c>
      <c r="B21" s="19">
        <v>2</v>
      </c>
      <c r="C21" s="19">
        <v>3</v>
      </c>
      <c r="D21" s="19">
        <v>1</v>
      </c>
      <c r="E21" s="20">
        <v>1</v>
      </c>
      <c r="F21" s="19">
        <v>2</v>
      </c>
      <c r="G21" s="19">
        <v>0</v>
      </c>
      <c r="H21" s="19">
        <v>1</v>
      </c>
      <c r="I21" s="19">
        <v>0</v>
      </c>
      <c r="J21" s="19">
        <v>0</v>
      </c>
      <c r="K21" s="19">
        <v>2</v>
      </c>
      <c r="L21" s="19">
        <v>0</v>
      </c>
      <c r="M21" s="19">
        <v>1</v>
      </c>
      <c r="N21" s="21">
        <f>SUM(B21:M21)</f>
        <v>13</v>
      </c>
    </row>
    <row r="22" spans="1:14" ht="15.75" x14ac:dyDescent="0.25">
      <c r="A22" s="15"/>
      <c r="B22" s="19"/>
      <c r="C22" s="19"/>
      <c r="D22" s="19"/>
      <c r="E22" s="20"/>
      <c r="F22" s="19"/>
      <c r="G22" s="19"/>
      <c r="H22" s="23"/>
      <c r="I22" s="23"/>
      <c r="J22" s="23"/>
      <c r="K22" s="23"/>
      <c r="L22" s="23"/>
      <c r="M22" s="24"/>
      <c r="N22" s="21"/>
    </row>
    <row r="23" spans="1:14" ht="15.75" x14ac:dyDescent="0.25">
      <c r="A23" s="15" t="s">
        <v>23</v>
      </c>
      <c r="B23" s="25">
        <f t="shared" ref="B23:L23" si="0">SUM(B5:B22)</f>
        <v>22596</v>
      </c>
      <c r="C23" s="25">
        <f t="shared" si="0"/>
        <v>21375</v>
      </c>
      <c r="D23" s="25">
        <f t="shared" si="0"/>
        <v>21070</v>
      </c>
      <c r="E23" s="26">
        <f t="shared" si="0"/>
        <v>21580</v>
      </c>
      <c r="F23" s="25">
        <f t="shared" si="0"/>
        <v>23793</v>
      </c>
      <c r="G23" s="25">
        <f t="shared" si="0"/>
        <v>22631</v>
      </c>
      <c r="H23" s="25">
        <f t="shared" si="0"/>
        <v>24861</v>
      </c>
      <c r="I23" s="25">
        <f t="shared" si="0"/>
        <v>23004</v>
      </c>
      <c r="J23" s="25">
        <f t="shared" si="0"/>
        <v>21943</v>
      </c>
      <c r="K23" s="25">
        <f t="shared" si="0"/>
        <v>24980</v>
      </c>
      <c r="L23" s="25">
        <f t="shared" si="0"/>
        <v>21628</v>
      </c>
      <c r="M23" s="25">
        <f>SUM(M5:M22)</f>
        <v>19480</v>
      </c>
      <c r="N23" s="27">
        <f>SUM(B23:M23)</f>
        <v>268941</v>
      </c>
    </row>
    <row r="24" spans="1:14" ht="15.75" x14ac:dyDescent="0.25">
      <c r="A24" s="15"/>
      <c r="B24" s="19"/>
      <c r="C24" s="19"/>
      <c r="D24" s="19"/>
      <c r="E24" s="20"/>
      <c r="F24" s="19"/>
      <c r="G24" s="19"/>
      <c r="H24" s="24"/>
      <c r="I24" s="23"/>
      <c r="J24" s="23"/>
      <c r="K24" s="23"/>
      <c r="L24" s="23"/>
      <c r="M24" s="23"/>
      <c r="N24" s="21"/>
    </row>
    <row r="25" spans="1:14" ht="15.75" x14ac:dyDescent="0.25">
      <c r="A25" s="15" t="s">
        <v>24</v>
      </c>
      <c r="B25" s="19">
        <v>239</v>
      </c>
      <c r="C25" s="19">
        <v>274</v>
      </c>
      <c r="D25" s="19">
        <v>254</v>
      </c>
      <c r="E25" s="20">
        <v>284</v>
      </c>
      <c r="F25" s="19">
        <v>269</v>
      </c>
      <c r="G25" s="19">
        <v>197</v>
      </c>
      <c r="H25" s="19">
        <v>107</v>
      </c>
      <c r="I25" s="19">
        <v>249</v>
      </c>
      <c r="J25" s="19">
        <v>212</v>
      </c>
      <c r="K25" s="19">
        <v>291</v>
      </c>
      <c r="L25" s="19">
        <v>237</v>
      </c>
      <c r="M25" s="19">
        <v>202</v>
      </c>
      <c r="N25" s="18">
        <f>SUM(B25:M25)</f>
        <v>2815</v>
      </c>
    </row>
    <row r="26" spans="1:14" ht="15.75" x14ac:dyDescent="0.25">
      <c r="A26" s="15"/>
      <c r="B26" s="19"/>
      <c r="C26" s="19"/>
      <c r="D26" s="19"/>
      <c r="E26" s="20"/>
      <c r="F26" s="19"/>
      <c r="G26" s="19"/>
      <c r="H26" s="23"/>
      <c r="I26" s="19"/>
      <c r="J26" s="23"/>
      <c r="K26" s="19"/>
      <c r="L26" s="23"/>
      <c r="M26" s="19"/>
      <c r="N26" s="21"/>
    </row>
    <row r="27" spans="1:14" ht="15.75" x14ac:dyDescent="0.25">
      <c r="A27" s="15" t="s">
        <v>25</v>
      </c>
      <c r="B27" s="19">
        <v>39</v>
      </c>
      <c r="C27" s="19">
        <v>34</v>
      </c>
      <c r="D27" s="19">
        <v>30</v>
      </c>
      <c r="E27" s="20">
        <v>39</v>
      </c>
      <c r="F27" s="19">
        <v>54</v>
      </c>
      <c r="G27" s="19">
        <v>32</v>
      </c>
      <c r="H27" s="19">
        <v>0</v>
      </c>
      <c r="I27" s="19">
        <v>25</v>
      </c>
      <c r="J27" s="19">
        <v>0</v>
      </c>
      <c r="K27" s="19">
        <v>26</v>
      </c>
      <c r="L27" s="19">
        <v>0</v>
      </c>
      <c r="M27" s="19">
        <v>24</v>
      </c>
      <c r="N27" s="21">
        <f>SUM(B27:M27)</f>
        <v>303</v>
      </c>
    </row>
    <row r="28" spans="1:14" ht="16.5" thickBot="1" x14ac:dyDescent="0.3">
      <c r="A28" s="15"/>
      <c r="B28" s="28"/>
      <c r="C28" s="28"/>
      <c r="D28" s="28"/>
      <c r="E28" s="29"/>
      <c r="F28" s="30"/>
      <c r="G28" s="28"/>
      <c r="H28" s="30"/>
      <c r="I28" s="30"/>
      <c r="J28" s="30"/>
      <c r="K28" s="30"/>
      <c r="L28" s="30"/>
      <c r="M28" s="28"/>
      <c r="N28" s="31"/>
    </row>
    <row r="29" spans="1:14" ht="16.5" thickBot="1" x14ac:dyDescent="0.3">
      <c r="A29" s="32" t="s">
        <v>26</v>
      </c>
      <c r="B29" s="33">
        <f t="shared" ref="B29:M29" si="1">SUM(B23:B28)</f>
        <v>22874</v>
      </c>
      <c r="C29" s="34">
        <f t="shared" si="1"/>
        <v>21683</v>
      </c>
      <c r="D29" s="34">
        <f t="shared" si="1"/>
        <v>21354</v>
      </c>
      <c r="E29" s="34">
        <f t="shared" si="1"/>
        <v>21903</v>
      </c>
      <c r="F29" s="34">
        <f t="shared" si="1"/>
        <v>24116</v>
      </c>
      <c r="G29" s="35">
        <f t="shared" si="1"/>
        <v>22860</v>
      </c>
      <c r="H29" s="34">
        <f t="shared" si="1"/>
        <v>24968</v>
      </c>
      <c r="I29" s="34">
        <f t="shared" si="1"/>
        <v>23278</v>
      </c>
      <c r="J29" s="34">
        <f t="shared" si="1"/>
        <v>22155</v>
      </c>
      <c r="K29" s="34">
        <f t="shared" si="1"/>
        <v>25297</v>
      </c>
      <c r="L29" s="34">
        <f t="shared" si="1"/>
        <v>21865</v>
      </c>
      <c r="M29" s="36">
        <f t="shared" si="1"/>
        <v>19706</v>
      </c>
      <c r="N29" s="37">
        <f>SUM(B29:M29)</f>
        <v>272059</v>
      </c>
    </row>
  </sheetData>
  <conditionalFormatting sqref="A1:N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2024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2026-05-17T14:45:47Z</dcterms:created>
  <dcterms:modified xsi:type="dcterms:W3CDTF">2026-05-17T18:54:09Z</dcterms:modified>
</cp:coreProperties>
</file>