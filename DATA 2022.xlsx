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OneDrive\Documents\Ciencas de datos\Analisis data Hospital\"/>
    </mc:Choice>
  </mc:AlternateContent>
  <bookViews>
    <workbookView xWindow="0" yWindow="0" windowWidth="11505" windowHeight="7515"/>
  </bookViews>
  <sheets>
    <sheet name="Data 2022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3" i="1" l="1"/>
  <c r="M29" i="1" s="1"/>
  <c r="L23" i="1"/>
  <c r="L29" i="1" s="1"/>
  <c r="K23" i="1"/>
  <c r="K29" i="1" s="1"/>
  <c r="J23" i="1"/>
  <c r="J29" i="1" s="1"/>
  <c r="I29" i="1"/>
  <c r="H23" i="1"/>
  <c r="H29" i="1" s="1"/>
  <c r="G23" i="1"/>
  <c r="G29" i="1" s="1"/>
  <c r="F23" i="1"/>
  <c r="F29" i="1" s="1"/>
  <c r="E23" i="1"/>
  <c r="E29" i="1" s="1"/>
  <c r="D23" i="1"/>
  <c r="D29" i="1" s="1"/>
  <c r="C23" i="1"/>
  <c r="C29" i="1" s="1"/>
  <c r="B23" i="1"/>
  <c r="N27" i="1"/>
  <c r="N25" i="1"/>
  <c r="N21" i="1"/>
  <c r="N19" i="1"/>
  <c r="N17" i="1"/>
  <c r="N15" i="1"/>
  <c r="N13" i="1"/>
  <c r="N11" i="1"/>
  <c r="N9" i="1"/>
  <c r="N7" i="1"/>
  <c r="N5" i="1"/>
  <c r="N23" i="1" l="1"/>
  <c r="B29" i="1"/>
  <c r="N29" i="1" s="1"/>
</calcChain>
</file>

<file path=xl/sharedStrings.xml><?xml version="1.0" encoding="utf-8"?>
<sst xmlns="http://schemas.openxmlformats.org/spreadsheetml/2006/main" count="29" uniqueCount="29">
  <si>
    <t>ESTUDIO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</si>
  <si>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</si>
  <si>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</si>
  <si>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</si>
  <si>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</si>
  <si>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</si>
  <si>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</si>
  <si>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</si>
  <si>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</si>
  <si>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</t>
  </si>
  <si>
    <t>OCTUBRE</t>
  </si>
  <si>
    <t>NOVIEMB</t>
  </si>
  <si>
    <t>DICIEMB</t>
  </si>
  <si>
    <t>TOTAL</t>
  </si>
  <si>
    <t>RX</t>
  </si>
  <si>
    <t>DENSITOMETRIAS</t>
  </si>
  <si>
    <t>TOMOGRAFIAS</t>
  </si>
  <si>
    <t>SONOGRAFIAS</t>
  </si>
  <si>
    <t>MAMOGRAFIAS</t>
  </si>
  <si>
    <t>RESONANCIAS</t>
  </si>
  <si>
    <t>BIOPSIAS</t>
  </si>
  <si>
    <t>RIV/DRENAJE/TOMODIRIGIDAS</t>
  </si>
  <si>
    <t>ANGIOGRAFIAS(RIV)</t>
  </si>
  <si>
    <t>SUB-TOTAL</t>
  </si>
  <si>
    <t>M.NUCLEAR. ESTUDIOS **</t>
  </si>
  <si>
    <t>M.N. PROCEDIMIENTOS**</t>
  </si>
  <si>
    <t>TOTAL GENERAL</t>
  </si>
  <si>
    <t>ESTUDIOS REALIZADOS ENERO-DICIEMBRE (2022)</t>
  </si>
  <si>
    <t xml:space="preserve">       DEPARTAMENTO DE IMÁGENES MEDICAS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</si>
</sst>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1" fillId="3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2" fillId="2" borderId="10" xfId="0" applyFont="1" applyFill="1" applyBorder="1"/>
    <xf numFmtId="3" fontId="3" fillId="2" borderId="11" xfId="0" applyNumberFormat="1" applyFont="1" applyFill="1" applyBorder="1" applyAlignment="1">
      <alignment horizontal="center"/>
    </xf>
    <xf numFmtId="3" fontId="4" fillId="2" borderId="12" xfId="0" applyNumberFormat="1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3" fontId="6" fillId="2" borderId="11" xfId="0" applyNumberFormat="1" applyFont="1" applyFill="1" applyBorder="1" applyAlignment="1">
      <alignment horizontal="center"/>
    </xf>
    <xf numFmtId="3" fontId="7" fillId="2" borderId="12" xfId="0" applyNumberFormat="1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3" fontId="6" fillId="3" borderId="16" xfId="0" applyNumberFormat="1" applyFont="1" applyFill="1" applyBorder="1" applyAlignment="1">
      <alignment horizontal="center"/>
    </xf>
    <xf numFmtId="3" fontId="7" fillId="3" borderId="17" xfId="0" applyNumberFormat="1" applyFont="1" applyFill="1" applyBorder="1" applyAlignment="1">
      <alignment horizontal="center"/>
    </xf>
    <xf numFmtId="3" fontId="2" fillId="2" borderId="11" xfId="0" applyNumberFormat="1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3" fontId="2" fillId="4" borderId="16" xfId="0" applyNumberFormat="1" applyFont="1" applyFill="1" applyBorder="1" applyAlignment="1">
      <alignment horizontal="center"/>
    </xf>
    <xf numFmtId="3" fontId="9" fillId="2" borderId="11" xfId="0" applyNumberFormat="1" applyFont="1" applyFill="1" applyBorder="1" applyAlignment="1">
      <alignment horizontal="center"/>
    </xf>
    <xf numFmtId="3" fontId="2" fillId="4" borderId="11" xfId="0" applyNumberFormat="1" applyFont="1" applyFill="1" applyBorder="1" applyAlignment="1">
      <alignment horizontal="center"/>
    </xf>
    <xf numFmtId="3" fontId="10" fillId="2" borderId="11" xfId="0" applyNumberFormat="1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3" fontId="9" fillId="4" borderId="18" xfId="0" applyNumberFormat="1" applyFont="1" applyFill="1" applyBorder="1" applyAlignment="1">
      <alignment horizontal="center"/>
    </xf>
    <xf numFmtId="3" fontId="2" fillId="2" borderId="12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center"/>
    </xf>
    <xf numFmtId="3" fontId="9" fillId="2" borderId="12" xfId="0" applyNumberFormat="1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3" fontId="9" fillId="2" borderId="17" xfId="0" applyNumberFormat="1" applyFont="1" applyFill="1" applyBorder="1" applyAlignment="1">
      <alignment horizontal="center"/>
    </xf>
    <xf numFmtId="3" fontId="2" fillId="5" borderId="19" xfId="0" applyNumberFormat="1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8" fillId="5" borderId="11" xfId="0" applyFont="1" applyFill="1" applyBorder="1" applyAlignment="1">
      <alignment horizontal="center"/>
    </xf>
    <xf numFmtId="3" fontId="8" fillId="5" borderId="11" xfId="0" applyNumberFormat="1" applyFont="1" applyFill="1" applyBorder="1" applyAlignment="1">
      <alignment horizontal="center"/>
    </xf>
    <xf numFmtId="3" fontId="2" fillId="5" borderId="11" xfId="0" applyNumberFormat="1" applyFont="1" applyFill="1" applyBorder="1" applyAlignment="1">
      <alignment horizontal="center"/>
    </xf>
    <xf numFmtId="3" fontId="9" fillId="5" borderId="11" xfId="0" applyNumberFormat="1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3" fontId="9" fillId="4" borderId="21" xfId="0" applyNumberFormat="1" applyFont="1" applyFill="1" applyBorder="1" applyAlignment="1">
      <alignment horizontal="center"/>
    </xf>
    <xf numFmtId="3" fontId="3" fillId="6" borderId="12" xfId="0" applyNumberFormat="1" applyFont="1" applyFill="1" applyBorder="1" applyAlignment="1">
      <alignment horizontal="center"/>
    </xf>
    <xf numFmtId="0" fontId="3" fillId="6" borderId="12" xfId="0" applyFont="1" applyFill="1" applyBorder="1" applyAlignment="1">
      <alignment horizontal="center"/>
    </xf>
    <xf numFmtId="3" fontId="6" fillId="6" borderId="12" xfId="0" applyNumberFormat="1" applyFont="1" applyFill="1" applyBorder="1" applyAlignment="1">
      <alignment horizontal="center"/>
    </xf>
    <xf numFmtId="0" fontId="3" fillId="6" borderId="14" xfId="0" applyFont="1" applyFill="1" applyBorder="1" applyAlignment="1">
      <alignment horizontal="center"/>
    </xf>
    <xf numFmtId="3" fontId="6" fillId="7" borderId="17" xfId="0" applyNumberFormat="1" applyFont="1" applyFill="1" applyBorder="1" applyAlignment="1">
      <alignment horizontal="center"/>
    </xf>
    <xf numFmtId="3" fontId="3" fillId="6" borderId="8" xfId="0" applyNumberFormat="1" applyFont="1" applyFill="1" applyBorder="1" applyAlignment="1">
      <alignment horizontal="center"/>
    </xf>
    <xf numFmtId="0" fontId="3" fillId="6" borderId="11" xfId="0" applyFont="1" applyFill="1" applyBorder="1" applyAlignment="1">
      <alignment horizontal="center"/>
    </xf>
    <xf numFmtId="3" fontId="3" fillId="6" borderId="11" xfId="0" applyNumberFormat="1" applyFont="1" applyFill="1" applyBorder="1" applyAlignment="1">
      <alignment horizontal="center"/>
    </xf>
    <xf numFmtId="3" fontId="6" fillId="6" borderId="11" xfId="0" applyNumberFormat="1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3" fontId="6" fillId="8" borderId="16" xfId="0" applyNumberFormat="1" applyFont="1" applyFill="1" applyBorder="1" applyAlignment="1">
      <alignment horizontal="center"/>
    </xf>
    <xf numFmtId="3" fontId="3" fillId="9" borderId="8" xfId="0" applyNumberFormat="1" applyFont="1" applyFill="1" applyBorder="1" applyAlignment="1">
      <alignment horizontal="center"/>
    </xf>
    <xf numFmtId="0" fontId="3" fillId="9" borderId="11" xfId="0" applyFont="1" applyFill="1" applyBorder="1" applyAlignment="1">
      <alignment horizontal="center"/>
    </xf>
    <xf numFmtId="3" fontId="3" fillId="9" borderId="11" xfId="0" applyNumberFormat="1" applyFont="1" applyFill="1" applyBorder="1" applyAlignment="1">
      <alignment horizontal="center"/>
    </xf>
    <xf numFmtId="3" fontId="6" fillId="9" borderId="11" xfId="0" applyNumberFormat="1" applyFont="1" applyFill="1" applyBorder="1" applyAlignment="1">
      <alignment horizontal="center"/>
    </xf>
    <xf numFmtId="0" fontId="3" fillId="9" borderId="13" xfId="0" applyFont="1" applyFill="1" applyBorder="1" applyAlignment="1">
      <alignment horizontal="center"/>
    </xf>
    <xf numFmtId="3" fontId="6" fillId="2" borderId="16" xfId="0" applyNumberFormat="1" applyFont="1" applyFill="1" applyBorder="1" applyAlignment="1">
      <alignment horizontal="center"/>
    </xf>
    <xf numFmtId="3" fontId="3" fillId="10" borderId="11" xfId="0" applyNumberFormat="1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5" fillId="10" borderId="11" xfId="0" applyFont="1" applyFill="1" applyBorder="1" applyAlignment="1">
      <alignment horizontal="center"/>
    </xf>
    <xf numFmtId="3" fontId="6" fillId="10" borderId="11" xfId="0" applyNumberFormat="1" applyFont="1" applyFill="1" applyBorder="1" applyAlignment="1">
      <alignment horizontal="center"/>
    </xf>
    <xf numFmtId="0" fontId="3" fillId="10" borderId="13" xfId="0" applyFont="1" applyFill="1" applyBorder="1" applyAlignment="1">
      <alignment horizontal="center"/>
    </xf>
    <xf numFmtId="3" fontId="2" fillId="8" borderId="22" xfId="0" applyNumberFormat="1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3" fontId="2" fillId="8" borderId="12" xfId="0" applyNumberFormat="1" applyFont="1" applyFill="1" applyBorder="1" applyAlignment="1">
      <alignment horizontal="center"/>
    </xf>
    <xf numFmtId="3" fontId="9" fillId="8" borderId="12" xfId="0" applyNumberFormat="1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3" fontId="9" fillId="3" borderId="16" xfId="0" applyNumberFormat="1" applyFont="1" applyFill="1" applyBorder="1" applyAlignment="1">
      <alignment horizontal="center"/>
    </xf>
    <xf numFmtId="3" fontId="9" fillId="8" borderId="23" xfId="0" applyNumberFormat="1" applyFont="1" applyFill="1" applyBorder="1" applyAlignment="1">
      <alignment horizontal="center"/>
    </xf>
    <xf numFmtId="3" fontId="6" fillId="4" borderId="16" xfId="0" applyNumberFormat="1" applyFont="1" applyFill="1" applyBorder="1" applyAlignment="1">
      <alignment horizontal="center"/>
    </xf>
    <xf numFmtId="0" fontId="0" fillId="2" borderId="24" xfId="0" applyFill="1" applyBorder="1"/>
    <xf numFmtId="0" fontId="0" fillId="2" borderId="25" xfId="0" applyFill="1" applyBorder="1"/>
    <xf numFmtId="0" fontId="1" fillId="2" borderId="25" xfId="0" applyFont="1" applyFill="1" applyBorder="1"/>
    <xf numFmtId="0" fontId="0" fillId="2" borderId="26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workbookViewId="0">
      <selection activeCell="I11" sqref="I11"/>
    </sheetView>
  </sheetViews>
  <sheetFormatPr baseColWidth="10" defaultRowHeight="15" x14ac:dyDescent="0.25"/>
  <sheetData>
    <row r="1" spans="1:14" x14ac:dyDescent="0.25">
      <c r="A1" s="77"/>
      <c r="B1" s="78"/>
      <c r="C1" s="78"/>
      <c r="D1" s="78"/>
      <c r="E1" s="79"/>
      <c r="F1" s="79" t="s">
        <v>28</v>
      </c>
      <c r="G1" s="79"/>
      <c r="H1" s="79"/>
      <c r="I1" s="79"/>
      <c r="J1" s="79"/>
      <c r="K1" s="79"/>
      <c r="L1" s="79"/>
      <c r="M1" s="79"/>
      <c r="N1" s="80"/>
    </row>
    <row r="2" spans="1:14" ht="15.75" thickBot="1" x14ac:dyDescent="0.3">
      <c r="A2" s="1"/>
      <c r="B2" s="2"/>
      <c r="C2" s="2"/>
      <c r="D2" s="2"/>
      <c r="E2" s="3" t="s">
        <v>27</v>
      </c>
      <c r="F2" s="3"/>
      <c r="G2" s="3"/>
      <c r="H2" s="3"/>
      <c r="I2" s="3"/>
      <c r="J2" s="3"/>
      <c r="K2" s="3"/>
      <c r="L2" s="3"/>
      <c r="M2" s="3"/>
      <c r="N2" s="4"/>
    </row>
    <row r="3" spans="1:14" ht="15.75" thickBot="1" x14ac:dyDescent="0.3">
      <c r="A3" s="5"/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spans="1:14" ht="15.75" thickBot="1" x14ac:dyDescent="0.3">
      <c r="A4" s="8" t="s">
        <v>0</v>
      </c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9" t="s">
        <v>7</v>
      </c>
      <c r="I4" s="9" t="s">
        <v>8</v>
      </c>
      <c r="J4" s="9" t="s">
        <v>9</v>
      </c>
      <c r="K4" s="9" t="s">
        <v>10</v>
      </c>
      <c r="L4" s="9" t="s">
        <v>11</v>
      </c>
      <c r="M4" s="9" t="s">
        <v>12</v>
      </c>
      <c r="N4" s="10" t="s">
        <v>13</v>
      </c>
    </row>
    <row r="5" spans="1:14" ht="15.75" x14ac:dyDescent="0.25">
      <c r="A5" s="11" t="s">
        <v>14</v>
      </c>
      <c r="B5" s="23">
        <v>5286</v>
      </c>
      <c r="C5" s="23">
        <v>5747</v>
      </c>
      <c r="D5" s="30">
        <v>6387</v>
      </c>
      <c r="E5" s="33">
        <v>5926</v>
      </c>
      <c r="F5" s="39">
        <v>6119</v>
      </c>
      <c r="G5" s="47">
        <v>6115</v>
      </c>
      <c r="H5" s="52">
        <v>6020</v>
      </c>
      <c r="I5" s="58">
        <v>6207</v>
      </c>
      <c r="J5" s="64">
        <v>5854</v>
      </c>
      <c r="K5" s="69">
        <v>6191</v>
      </c>
      <c r="L5" s="23">
        <v>6229</v>
      </c>
      <c r="M5" s="12">
        <v>5614</v>
      </c>
      <c r="N5" s="13">
        <f>SUM(B5:M5)</f>
        <v>71695</v>
      </c>
    </row>
    <row r="6" spans="1:14" ht="15.75" x14ac:dyDescent="0.25">
      <c r="A6" s="11"/>
      <c r="B6" s="24"/>
      <c r="C6" s="24"/>
      <c r="D6" s="31"/>
      <c r="E6" s="34"/>
      <c r="F6" s="40"/>
      <c r="G6" s="48"/>
      <c r="H6" s="53"/>
      <c r="I6" s="59"/>
      <c r="J6" s="65"/>
      <c r="K6" s="70"/>
      <c r="L6" s="24"/>
      <c r="M6" s="14"/>
      <c r="N6" s="15"/>
    </row>
    <row r="7" spans="1:14" ht="15.75" x14ac:dyDescent="0.25">
      <c r="A7" s="11" t="s">
        <v>15</v>
      </c>
      <c r="B7" s="25">
        <v>230</v>
      </c>
      <c r="C7" s="25">
        <v>321</v>
      </c>
      <c r="D7" s="31">
        <v>473</v>
      </c>
      <c r="E7" s="35">
        <v>70</v>
      </c>
      <c r="F7" s="41">
        <v>54</v>
      </c>
      <c r="G7" s="48">
        <v>387</v>
      </c>
      <c r="H7" s="53">
        <v>407</v>
      </c>
      <c r="I7" s="59">
        <v>478</v>
      </c>
      <c r="J7" s="65">
        <v>398</v>
      </c>
      <c r="K7" s="70">
        <v>386</v>
      </c>
      <c r="L7" s="24">
        <v>448</v>
      </c>
      <c r="M7" s="14">
        <v>354</v>
      </c>
      <c r="N7" s="13">
        <f>SUM(B7:M7)</f>
        <v>4006</v>
      </c>
    </row>
    <row r="8" spans="1:14" ht="15.75" x14ac:dyDescent="0.25">
      <c r="A8" s="11"/>
      <c r="B8" s="24"/>
      <c r="C8" s="24"/>
      <c r="D8" s="31"/>
      <c r="E8" s="34"/>
      <c r="F8" s="40"/>
      <c r="G8" s="48"/>
      <c r="H8" s="53"/>
      <c r="I8" s="59"/>
      <c r="J8" s="65"/>
      <c r="K8" s="70"/>
      <c r="L8" s="24"/>
      <c r="M8" s="14"/>
      <c r="N8" s="15"/>
    </row>
    <row r="9" spans="1:14" ht="15.75" x14ac:dyDescent="0.25">
      <c r="A9" s="11" t="s">
        <v>16</v>
      </c>
      <c r="B9" s="23">
        <v>3103</v>
      </c>
      <c r="C9" s="23">
        <v>2722</v>
      </c>
      <c r="D9" s="30">
        <v>3062</v>
      </c>
      <c r="E9" s="33">
        <v>2516</v>
      </c>
      <c r="F9" s="42">
        <v>1617</v>
      </c>
      <c r="G9" s="47">
        <v>1608</v>
      </c>
      <c r="H9" s="54">
        <v>2887</v>
      </c>
      <c r="I9" s="60">
        <v>3116</v>
      </c>
      <c r="J9" s="64">
        <v>2642</v>
      </c>
      <c r="K9" s="71">
        <v>2958</v>
      </c>
      <c r="L9" s="23">
        <v>2859</v>
      </c>
      <c r="M9" s="12">
        <v>2633</v>
      </c>
      <c r="N9" s="13">
        <f>SUM(B9:M9)</f>
        <v>31723</v>
      </c>
    </row>
    <row r="10" spans="1:14" ht="15.75" x14ac:dyDescent="0.25">
      <c r="A10" s="11"/>
      <c r="B10" s="24"/>
      <c r="C10" s="24"/>
      <c r="D10" s="31"/>
      <c r="E10" s="34"/>
      <c r="F10" s="40"/>
      <c r="G10" s="48"/>
      <c r="H10" s="53"/>
      <c r="I10" s="59"/>
      <c r="J10" s="65"/>
      <c r="K10" s="70"/>
      <c r="L10" s="24"/>
      <c r="M10" s="14"/>
      <c r="N10" s="15"/>
    </row>
    <row r="11" spans="1:14" ht="15.75" x14ac:dyDescent="0.25">
      <c r="A11" s="11" t="s">
        <v>17</v>
      </c>
      <c r="B11" s="23">
        <v>5083</v>
      </c>
      <c r="C11" s="23">
        <v>7323</v>
      </c>
      <c r="D11" s="30">
        <v>9159</v>
      </c>
      <c r="E11" s="33">
        <v>7653</v>
      </c>
      <c r="F11" s="43">
        <v>7585</v>
      </c>
      <c r="G11" s="47">
        <v>7909</v>
      </c>
      <c r="H11" s="54">
        <v>8647</v>
      </c>
      <c r="I11" s="60">
        <v>9240</v>
      </c>
      <c r="J11" s="64">
        <v>7572</v>
      </c>
      <c r="K11" s="71">
        <v>8561</v>
      </c>
      <c r="L11" s="23">
        <v>8310</v>
      </c>
      <c r="M11" s="12">
        <v>7229</v>
      </c>
      <c r="N11" s="13">
        <f>SUM(B11:M11)</f>
        <v>94271</v>
      </c>
    </row>
    <row r="12" spans="1:14" ht="15.75" x14ac:dyDescent="0.25">
      <c r="A12" s="11"/>
      <c r="B12" s="24"/>
      <c r="C12" s="24"/>
      <c r="D12" s="31"/>
      <c r="E12" s="34"/>
      <c r="F12" s="40"/>
      <c r="G12" s="48"/>
      <c r="H12" s="53"/>
      <c r="I12" s="59"/>
      <c r="J12" s="65"/>
      <c r="K12" s="70"/>
      <c r="L12" s="24"/>
      <c r="M12" s="14"/>
      <c r="N12" s="15"/>
    </row>
    <row r="13" spans="1:14" ht="15.75" x14ac:dyDescent="0.25">
      <c r="A13" s="11" t="s">
        <v>18</v>
      </c>
      <c r="B13" s="24">
        <v>374</v>
      </c>
      <c r="C13" s="24">
        <v>697</v>
      </c>
      <c r="D13" s="31">
        <v>883</v>
      </c>
      <c r="E13" s="34">
        <v>589</v>
      </c>
      <c r="F13" s="40">
        <v>660</v>
      </c>
      <c r="G13" s="48">
        <v>647</v>
      </c>
      <c r="H13" s="53">
        <v>724</v>
      </c>
      <c r="I13" s="59">
        <v>771</v>
      </c>
      <c r="J13" s="65">
        <v>571</v>
      </c>
      <c r="K13" s="70">
        <v>839</v>
      </c>
      <c r="L13" s="24">
        <v>820</v>
      </c>
      <c r="M13" s="14">
        <v>582</v>
      </c>
      <c r="N13" s="13">
        <f>SUM(B13:M13)</f>
        <v>8157</v>
      </c>
    </row>
    <row r="14" spans="1:14" ht="15.75" x14ac:dyDescent="0.25">
      <c r="A14" s="11"/>
      <c r="B14" s="24"/>
      <c r="C14" s="24"/>
      <c r="D14" s="31"/>
      <c r="E14" s="34"/>
      <c r="F14" s="40"/>
      <c r="G14" s="48"/>
      <c r="H14" s="53"/>
      <c r="I14" s="59"/>
      <c r="J14" s="65"/>
      <c r="K14" s="70"/>
      <c r="L14" s="24"/>
      <c r="M14" s="14"/>
      <c r="N14" s="15"/>
    </row>
    <row r="15" spans="1:14" ht="15.75" x14ac:dyDescent="0.25">
      <c r="A15" s="11" t="s">
        <v>19</v>
      </c>
      <c r="B15" s="24">
        <v>899</v>
      </c>
      <c r="C15" s="23">
        <v>1262</v>
      </c>
      <c r="D15" s="30">
        <v>1606</v>
      </c>
      <c r="E15" s="33">
        <v>1388</v>
      </c>
      <c r="F15" s="43">
        <v>1621</v>
      </c>
      <c r="G15" s="47">
        <v>1728</v>
      </c>
      <c r="H15" s="54">
        <v>1562</v>
      </c>
      <c r="I15" s="60">
        <v>1716</v>
      </c>
      <c r="J15" s="64">
        <v>1648</v>
      </c>
      <c r="K15" s="71">
        <v>1562</v>
      </c>
      <c r="L15" s="23">
        <v>1510</v>
      </c>
      <c r="M15" s="12">
        <v>1314</v>
      </c>
      <c r="N15" s="13">
        <f>SUM(B15:M15)</f>
        <v>17816</v>
      </c>
    </row>
    <row r="16" spans="1:14" ht="15.75" x14ac:dyDescent="0.25">
      <c r="A16" s="11"/>
      <c r="B16" s="24"/>
      <c r="C16" s="24"/>
      <c r="D16" s="31"/>
      <c r="E16" s="34"/>
      <c r="F16" s="40"/>
      <c r="G16" s="48"/>
      <c r="H16" s="53"/>
      <c r="I16" s="59"/>
      <c r="J16" s="65"/>
      <c r="K16" s="70"/>
      <c r="L16" s="24"/>
      <c r="M16" s="14"/>
      <c r="N16" s="15"/>
    </row>
    <row r="17" spans="1:14" ht="15.75" x14ac:dyDescent="0.25">
      <c r="A17" s="11" t="s">
        <v>20</v>
      </c>
      <c r="B17" s="24">
        <v>87</v>
      </c>
      <c r="C17" s="24">
        <v>153</v>
      </c>
      <c r="D17" s="31">
        <v>148</v>
      </c>
      <c r="E17" s="34">
        <v>184</v>
      </c>
      <c r="F17" s="40">
        <v>158</v>
      </c>
      <c r="G17" s="48">
        <v>179</v>
      </c>
      <c r="H17" s="53">
        <v>173</v>
      </c>
      <c r="I17" s="59">
        <v>193</v>
      </c>
      <c r="J17" s="65">
        <v>121</v>
      </c>
      <c r="K17" s="70">
        <v>171</v>
      </c>
      <c r="L17" s="24">
        <v>166</v>
      </c>
      <c r="M17" s="14">
        <v>180</v>
      </c>
      <c r="N17" s="13">
        <f>SUM(B17:M17)</f>
        <v>1913</v>
      </c>
    </row>
    <row r="18" spans="1:14" ht="15.75" x14ac:dyDescent="0.25">
      <c r="A18" s="11"/>
      <c r="B18" s="24"/>
      <c r="C18" s="24"/>
      <c r="D18" s="31"/>
      <c r="E18" s="34"/>
      <c r="F18" s="40"/>
      <c r="G18" s="48"/>
      <c r="H18" s="53"/>
      <c r="I18" s="59"/>
      <c r="J18" s="65"/>
      <c r="K18" s="70"/>
      <c r="L18" s="24"/>
      <c r="M18" s="14"/>
      <c r="N18" s="15"/>
    </row>
    <row r="19" spans="1:14" ht="15.75" x14ac:dyDescent="0.25">
      <c r="A19" s="11" t="s">
        <v>21</v>
      </c>
      <c r="B19" s="24">
        <v>9</v>
      </c>
      <c r="C19" s="24">
        <v>7</v>
      </c>
      <c r="D19" s="31">
        <v>4</v>
      </c>
      <c r="E19" s="34">
        <v>12</v>
      </c>
      <c r="F19" s="40">
        <v>5</v>
      </c>
      <c r="G19" s="48">
        <v>4</v>
      </c>
      <c r="H19" s="53">
        <v>5</v>
      </c>
      <c r="I19" s="59">
        <v>20</v>
      </c>
      <c r="J19" s="65">
        <v>23</v>
      </c>
      <c r="K19" s="70">
        <v>13</v>
      </c>
      <c r="L19" s="24">
        <v>20</v>
      </c>
      <c r="M19" s="14">
        <v>7</v>
      </c>
      <c r="N19" s="15">
        <f>SUM(B19:M19)</f>
        <v>129</v>
      </c>
    </row>
    <row r="20" spans="1:14" ht="15.75" x14ac:dyDescent="0.25">
      <c r="A20" s="11"/>
      <c r="B20" s="24"/>
      <c r="C20" s="24"/>
      <c r="D20" s="31"/>
      <c r="E20" s="34"/>
      <c r="F20" s="40"/>
      <c r="G20" s="48"/>
      <c r="H20" s="53"/>
      <c r="I20" s="59"/>
      <c r="J20" s="65"/>
      <c r="K20" s="70"/>
      <c r="L20" s="24"/>
      <c r="M20" s="14"/>
      <c r="N20" s="15"/>
    </row>
    <row r="21" spans="1:14" ht="15.75" x14ac:dyDescent="0.25">
      <c r="A21" s="11" t="s">
        <v>22</v>
      </c>
      <c r="B21" s="24">
        <v>2</v>
      </c>
      <c r="C21" s="24">
        <v>4</v>
      </c>
      <c r="D21" s="31">
        <v>4</v>
      </c>
      <c r="E21" s="34">
        <v>3</v>
      </c>
      <c r="F21" s="40">
        <v>2</v>
      </c>
      <c r="G21" s="48">
        <v>3</v>
      </c>
      <c r="H21" s="53">
        <v>5</v>
      </c>
      <c r="I21" s="59">
        <v>3</v>
      </c>
      <c r="J21" s="65">
        <v>2</v>
      </c>
      <c r="K21" s="70">
        <v>1</v>
      </c>
      <c r="L21" s="24">
        <v>1</v>
      </c>
      <c r="M21" s="14">
        <v>4</v>
      </c>
      <c r="N21" s="15">
        <f>SUM(B21:M21)</f>
        <v>34</v>
      </c>
    </row>
    <row r="22" spans="1:14" ht="15.75" x14ac:dyDescent="0.25">
      <c r="A22" s="11"/>
      <c r="B22" s="24"/>
      <c r="C22" s="24"/>
      <c r="D22" s="31"/>
      <c r="E22" s="34"/>
      <c r="F22" s="40"/>
      <c r="G22" s="48"/>
      <c r="H22" s="53"/>
      <c r="I22" s="59"/>
      <c r="J22" s="66"/>
      <c r="K22" s="70"/>
      <c r="L22" s="24"/>
      <c r="M22" s="14"/>
      <c r="N22" s="15"/>
    </row>
    <row r="23" spans="1:14" ht="15.75" x14ac:dyDescent="0.25">
      <c r="A23" s="11" t="s">
        <v>23</v>
      </c>
      <c r="B23" s="23">
        <f>SUM(B4:B22)</f>
        <v>15073</v>
      </c>
      <c r="C23" s="28">
        <f t="shared" ref="C23" si="0">SUM(C4:C22)</f>
        <v>18236</v>
      </c>
      <c r="D23" s="28">
        <f>SUM(D4:D22)</f>
        <v>21726</v>
      </c>
      <c r="E23" s="36">
        <f>SUM(E4:E22)</f>
        <v>18341</v>
      </c>
      <c r="F23" s="44">
        <f>SUM(F4:F22)</f>
        <v>17821</v>
      </c>
      <c r="G23" s="49">
        <f>SUM(G5:G22)</f>
        <v>18580</v>
      </c>
      <c r="H23" s="55">
        <f>SUM(H4:H22)</f>
        <v>20430</v>
      </c>
      <c r="I23" s="61">
        <v>21744</v>
      </c>
      <c r="J23" s="67">
        <f>SUM(J4:J22)</f>
        <v>18831</v>
      </c>
      <c r="K23" s="72">
        <f>SUM(K4:K22)</f>
        <v>20682</v>
      </c>
      <c r="L23" s="28">
        <f t="shared" ref="L23:M23" si="1">SUM(L4:L22)</f>
        <v>20363</v>
      </c>
      <c r="M23" s="16">
        <f t="shared" si="1"/>
        <v>17917</v>
      </c>
      <c r="N23" s="17">
        <f>SUM(B23:M23)</f>
        <v>229744</v>
      </c>
    </row>
    <row r="24" spans="1:14" ht="15.75" x14ac:dyDescent="0.25">
      <c r="A24" s="11"/>
      <c r="B24" s="24"/>
      <c r="C24" s="28"/>
      <c r="D24" s="31"/>
      <c r="E24" s="34"/>
      <c r="F24" s="40"/>
      <c r="G24" s="48"/>
      <c r="H24" s="53"/>
      <c r="I24" s="59"/>
      <c r="J24" s="66"/>
      <c r="K24" s="70"/>
      <c r="L24" s="28"/>
      <c r="M24" s="16"/>
      <c r="N24" s="15"/>
    </row>
    <row r="25" spans="1:14" ht="15.75" x14ac:dyDescent="0.25">
      <c r="A25" s="11" t="s">
        <v>24</v>
      </c>
      <c r="B25" s="24">
        <v>147</v>
      </c>
      <c r="C25" s="24">
        <v>242</v>
      </c>
      <c r="D25" s="23">
        <v>271</v>
      </c>
      <c r="E25" s="34">
        <v>233</v>
      </c>
      <c r="F25" s="40">
        <v>244</v>
      </c>
      <c r="G25" s="48">
        <v>235</v>
      </c>
      <c r="H25" s="53">
        <v>244</v>
      </c>
      <c r="I25" s="59">
        <v>251</v>
      </c>
      <c r="J25" s="65">
        <v>241</v>
      </c>
      <c r="K25" s="70">
        <v>244</v>
      </c>
      <c r="L25" s="24">
        <v>277</v>
      </c>
      <c r="M25" s="14">
        <v>179</v>
      </c>
      <c r="N25" s="13">
        <f>SUM(B25:M25)</f>
        <v>2808</v>
      </c>
    </row>
    <row r="26" spans="1:14" ht="15.75" x14ac:dyDescent="0.25">
      <c r="A26" s="11"/>
      <c r="B26" s="24"/>
      <c r="C26" s="24"/>
      <c r="D26" s="31"/>
      <c r="E26" s="34"/>
      <c r="F26" s="40"/>
      <c r="G26" s="48"/>
      <c r="H26" s="53"/>
      <c r="I26" s="59"/>
      <c r="J26" s="65"/>
      <c r="K26" s="70"/>
      <c r="L26" s="24"/>
      <c r="M26" s="14"/>
      <c r="N26" s="15"/>
    </row>
    <row r="27" spans="1:14" ht="15.75" x14ac:dyDescent="0.25">
      <c r="A27" s="11" t="s">
        <v>25</v>
      </c>
      <c r="B27" s="24">
        <v>29</v>
      </c>
      <c r="C27" s="24">
        <v>43</v>
      </c>
      <c r="D27" s="24">
        <v>63</v>
      </c>
      <c r="E27" s="34">
        <v>42</v>
      </c>
      <c r="F27" s="40">
        <v>54</v>
      </c>
      <c r="G27" s="48">
        <v>29</v>
      </c>
      <c r="H27" s="53">
        <v>49</v>
      </c>
      <c r="I27" s="59">
        <v>33</v>
      </c>
      <c r="J27" s="65">
        <v>47</v>
      </c>
      <c r="K27" s="70">
        <v>27</v>
      </c>
      <c r="L27" s="24">
        <v>41</v>
      </c>
      <c r="M27" s="14">
        <v>29</v>
      </c>
      <c r="N27" s="15">
        <f>SUM(B27:M27)</f>
        <v>486</v>
      </c>
    </row>
    <row r="28" spans="1:14" ht="16.5" thickBot="1" x14ac:dyDescent="0.3">
      <c r="A28" s="11"/>
      <c r="B28" s="26"/>
      <c r="C28" s="24"/>
      <c r="D28" s="26"/>
      <c r="E28" s="37"/>
      <c r="F28" s="45"/>
      <c r="G28" s="50"/>
      <c r="H28" s="56"/>
      <c r="I28" s="62"/>
      <c r="J28" s="68"/>
      <c r="K28" s="73"/>
      <c r="L28" s="26"/>
      <c r="M28" s="18"/>
      <c r="N28" s="19"/>
    </row>
    <row r="29" spans="1:14" ht="16.5" thickBot="1" x14ac:dyDescent="0.3">
      <c r="A29" s="20" t="s">
        <v>26</v>
      </c>
      <c r="B29" s="27">
        <f>SUM(B23:B28)</f>
        <v>15249</v>
      </c>
      <c r="C29" s="29">
        <f>SUM(C23:C28)</f>
        <v>18521</v>
      </c>
      <c r="D29" s="32">
        <f>SUM(D23:D28)</f>
        <v>22060</v>
      </c>
      <c r="E29" s="38">
        <f>SUM(E23:E28)</f>
        <v>18616</v>
      </c>
      <c r="F29" s="46">
        <f>SUM(F23:F28)</f>
        <v>18119</v>
      </c>
      <c r="G29" s="51">
        <f t="shared" ref="G29" si="2">SUM(G23:G28)</f>
        <v>18844</v>
      </c>
      <c r="H29" s="57">
        <f t="shared" ref="H29:M29" si="3">SUM(H23:H28)</f>
        <v>20723</v>
      </c>
      <c r="I29" s="63">
        <f t="shared" si="3"/>
        <v>22028</v>
      </c>
      <c r="J29" s="21">
        <f t="shared" si="3"/>
        <v>19119</v>
      </c>
      <c r="K29" s="74">
        <f t="shared" si="3"/>
        <v>20953</v>
      </c>
      <c r="L29" s="75">
        <f t="shared" si="3"/>
        <v>20681</v>
      </c>
      <c r="M29" s="76">
        <f t="shared" si="3"/>
        <v>18125</v>
      </c>
      <c r="N29" s="22">
        <f>SUM(B29:M29)</f>
        <v>233038</v>
      </c>
    </row>
  </sheetData>
  <conditionalFormatting sqref="A5:N2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1:N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 2022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2026-05-17T19:21:49Z</dcterms:created>
  <dcterms:modified xsi:type="dcterms:W3CDTF">2026-05-17T19:34:12Z</dcterms:modified>
</cp:coreProperties>
</file>